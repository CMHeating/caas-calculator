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meristar VALUE" sheetId="1" state="visible" r:id="rId1"/>
    <sheet xmlns:r="http://schemas.openxmlformats.org/officeDocument/2006/relationships" name="Equip Price Reference" sheetId="2" state="visible" r:id="rId2"/>
    <sheet xmlns:r="http://schemas.openxmlformats.org/officeDocument/2006/relationships" name="Goodman-Daikin Price Ref" sheetId="3" state="visible" r:id="rId3"/>
    <sheet xmlns:r="http://schemas.openxmlformats.org/officeDocument/2006/relationships" name="Goodman VALUE" sheetId="4" state="visible" r:id="rId4"/>
    <sheet xmlns:r="http://schemas.openxmlformats.org/officeDocument/2006/relationships" name="Daikin Ductless" sheetId="5" state="visible" r:id="rId5"/>
    <sheet xmlns:r="http://schemas.openxmlformats.org/officeDocument/2006/relationships" name="Midea EVOX" sheetId="6" state="visible" r:id="rId6"/>
    <sheet xmlns:r="http://schemas.openxmlformats.org/officeDocument/2006/relationships" name="Mitsubishi M-Series" sheetId="7" state="visible" r:id="rId7"/>
    <sheet xmlns:r="http://schemas.openxmlformats.org/officeDocument/2006/relationships" name="American Standard Price Ref" sheetId="8" state="visible" r:id="rId8"/>
    <sheet xmlns:r="http://schemas.openxmlformats.org/officeDocument/2006/relationships" name="American Standard VALUE" sheetId="9" state="visible" r:id="rId9"/>
    <sheet xmlns:r="http://schemas.openxmlformats.org/officeDocument/2006/relationships" name="American Standard PREMIUM" sheetId="10" state="visible" r:id="rId10"/>
    <sheet xmlns:r="http://schemas.openxmlformats.org/officeDocument/2006/relationships" name="American Standard Furnace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$#,##0.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555555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Courier New"/>
      <charset val="1"/>
      <family val="0"/>
      <sz val="8"/>
    </font>
    <font>
      <name val="Arial"/>
      <charset val="1"/>
      <family val="0"/>
      <b val="1"/>
      <color rgb="FF1A3A6B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66534"/>
      <sz val="9"/>
    </font>
    <font>
      <name val="Arial"/>
      <charset val="1"/>
      <family val="0"/>
      <color rgb="FF92400E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1F4E79"/>
      <sz val="8"/>
    </font>
    <font>
      <name val="Arial"/>
      <color rgb="00000000"/>
      <sz val="9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2255A4"/>
        <bgColor rgb="FF333399"/>
      </patternFill>
    </fill>
    <fill>
      <patternFill patternType="solid">
        <fgColor rgb="FFFFFFFF"/>
        <bgColor rgb="FFF7F9FC"/>
      </patternFill>
    </fill>
    <fill>
      <patternFill patternType="solid">
        <fgColor rgb="FFFFF4E0"/>
        <bgColor rgb="FFF7F9FC"/>
      </patternFill>
    </fill>
    <fill>
      <patternFill patternType="solid">
        <fgColor rgb="FFE6F4EA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000D2F4F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8FD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1F4E78"/>
        <bgColor rgb="001F4E78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bottom"/>
    </xf>
    <xf numFmtId="0" fontId="12" fillId="7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bottom"/>
    </xf>
    <xf numFmtId="0" fontId="6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bottom"/>
    </xf>
    <xf numFmtId="0" fontId="12" fillId="7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5" fillId="10" borderId="6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14" fillId="11" borderId="6" applyAlignment="1" pivotButton="0" quotePrefix="0" xfId="0">
      <alignment vertical="center"/>
    </xf>
    <xf numFmtId="0" fontId="16" fillId="0" borderId="6" applyAlignment="1" pivotButton="0" quotePrefix="0" xfId="0">
      <alignment horizontal="left" vertical="center"/>
    </xf>
    <xf numFmtId="0" fontId="16" fillId="0" borderId="6" applyAlignment="1" pivotButton="0" quotePrefix="0" xfId="0">
      <alignment horizontal="center" vertical="center"/>
    </xf>
    <xf numFmtId="0" fontId="16" fillId="12" borderId="6" applyAlignment="1" pivotButton="0" quotePrefix="0" xfId="0">
      <alignment horizontal="left" vertical="center"/>
    </xf>
    <xf numFmtId="0" fontId="16" fillId="12" borderId="6" applyAlignment="1" pivotButton="0" quotePrefix="0" xfId="0">
      <alignment horizontal="center" vertical="center"/>
    </xf>
    <xf numFmtId="0" fontId="13" fillId="9" borderId="11" applyAlignment="1" pivotButton="0" quotePrefix="0" xfId="0">
      <alignment horizontal="left" vertical="center"/>
    </xf>
    <xf numFmtId="0" fontId="17" fillId="10" borderId="11" applyAlignment="1" pivotButton="0" quotePrefix="0" xfId="0">
      <alignment horizontal="left" vertical="center"/>
    </xf>
    <xf numFmtId="0" fontId="15" fillId="13" borderId="11" applyAlignment="1" pivotButton="0" quotePrefix="0" xfId="0">
      <alignment horizontal="center" vertical="center" wrapText="1"/>
    </xf>
    <xf numFmtId="0" fontId="14" fillId="11" borderId="11" applyAlignment="1" pivotButton="0" quotePrefix="0" xfId="0">
      <alignment horizontal="left" vertical="center"/>
    </xf>
    <xf numFmtId="0" fontId="18" fillId="0" borderId="11" applyAlignment="1" pivotButton="0" quotePrefix="0" xfId="0">
      <alignment horizontal="left" vertical="center"/>
    </xf>
    <xf numFmtId="165" fontId="18" fillId="0" borderId="11" applyAlignment="1" pivotButton="0" quotePrefix="0" xfId="0">
      <alignment horizontal="right" vertical="center"/>
    </xf>
    <xf numFmtId="0" fontId="18" fillId="12" borderId="11" applyAlignment="1" pivotButton="0" quotePrefix="0" xfId="0">
      <alignment horizontal="left" vertical="center"/>
    </xf>
    <xf numFmtId="165" fontId="18" fillId="12" borderId="11" applyAlignment="1" pivotButton="0" quotePrefix="0" xfId="0">
      <alignment horizontal="right" vertical="center"/>
    </xf>
    <xf numFmtId="165" fontId="18" fillId="14" borderId="1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13" fillId="9" borderId="11" applyAlignment="1" pivotButton="0" quotePrefix="0" xfId="0">
      <alignment horizontal="left" vertical="center"/>
    </xf>
    <xf numFmtId="0" fontId="17" fillId="10" borderId="11" applyAlignment="1" pivotButton="0" quotePrefix="0" xfId="0">
      <alignment horizontal="left" vertical="center"/>
    </xf>
    <xf numFmtId="0" fontId="14" fillId="11" borderId="11" applyAlignment="1" pivotButton="0" quotePrefix="0" xfId="0">
      <alignment horizontal="left" vertical="center"/>
    </xf>
    <xf numFmtId="0" fontId="18" fillId="0" borderId="11" applyAlignment="1" pivotButton="0" quotePrefix="0" xfId="0">
      <alignment horizontal="left" vertical="center"/>
    </xf>
    <xf numFmtId="165" fontId="18" fillId="0" borderId="11" applyAlignment="1" pivotButton="0" quotePrefix="0" xfId="0">
      <alignment horizontal="right" vertical="center"/>
    </xf>
    <xf numFmtId="165" fontId="18" fillId="14" borderId="11" applyAlignment="1" pivotButton="0" quotePrefix="0" xfId="0">
      <alignment horizontal="right" vertical="center"/>
    </xf>
    <xf numFmtId="0" fontId="18" fillId="12" borderId="11" applyAlignment="1" pivotButton="0" quotePrefix="0" xfId="0">
      <alignment horizontal="left" vertical="center"/>
    </xf>
    <xf numFmtId="165" fontId="18" fillId="12" borderId="11" applyAlignment="1" pivotButton="0" quotePrefix="0" xfId="0">
      <alignment horizontal="right" vertical="center"/>
    </xf>
    <xf numFmtId="0" fontId="19" fillId="1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6F4EA"/>
      <rgbColor rgb="FF660066"/>
      <rgbColor rgb="FFFF8080"/>
      <rgbColor rgb="FF22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6B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SPriceRef" displayName="ASPriceRef" ref="A1:G16" headerRowCount="1">
  <autoFilter ref="A1:G16"/>
  <tableColumns count="7">
    <tableColumn id="1" name="Category"/>
    <tableColumn id="2" name="Tier"/>
    <tableColumn id="3" name="Product Type"/>
    <tableColumn id="4" name="Model"/>
    <tableColumn id="5" name="Tons"/>
    <tableColumn id="6" name="Equip Cost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AmericanStandardVALUETable" displayName="AmericanStandardVALUETable" ref="A1:L5" headerRowCount="1">
  <autoFilter ref="A1:L5"/>
  <tableColumns count="12">
    <tableColumn id="1" name="Package Name"/>
    <tableColumn id="2" name="Outdoor Unit"/>
    <tableColumn id="3" name="Indoor Unit"/>
    <tableColumn id="4" name="Equipment Cost"/>
    <tableColumn id="5" name="Install Cost"/>
    <tableColumn id="6" name="Permit"/>
    <tableColumn id="7" name="Accessories"/>
    <tableColumn id="8" name="Total Cost"/>
    <tableColumn id="9" name="Target Margin %"/>
    <tableColumn id="10" name="Retail Price"/>
    <tableColumn id="11" name="Estimated CaaS / Mo"/>
    <tableColumn id="12" name="Residual @ 96"/>
  </tableColumns>
  <tableStyleInfo name="TableStyleMedium9" showRowStripes="1"/>
</table>
</file>

<file path=xl/tables/table3.xml><?xml version="1.0" encoding="utf-8"?>
<table xmlns="http://schemas.openxmlformats.org/spreadsheetml/2006/main" id="3" name="AmericanStandardPREMIUMTable" displayName="AmericanStandardPREMIUMTable" ref="A1:L5" headerRowCount="1">
  <autoFilter ref="A1:L5"/>
  <tableColumns count="12">
    <tableColumn id="1" name="Package Name"/>
    <tableColumn id="2" name="Outdoor Unit"/>
    <tableColumn id="3" name="Indoor Unit"/>
    <tableColumn id="4" name="Equipment Cost"/>
    <tableColumn id="5" name="Install Cost"/>
    <tableColumn id="6" name="Permit"/>
    <tableColumn id="7" name="Accessories"/>
    <tableColumn id="8" name="Total Cost"/>
    <tableColumn id="9" name="Target Margin %"/>
    <tableColumn id="10" name="Retail Price"/>
    <tableColumn id="11" name="Estimated CaaS / Mo"/>
    <tableColumn id="12" name="Residual @ 96"/>
  </tableColumns>
  <tableStyleInfo name="TableStyleMedium9" showRowStripes="1"/>
</table>
</file>

<file path=xl/tables/table4.xml><?xml version="1.0" encoding="utf-8"?>
<table xmlns="http://schemas.openxmlformats.org/spreadsheetml/2006/main" id="4" name="AmericanStandardFurnaceTable" displayName="AmericanStandardFurnaceTable" ref="A1:L5" headerRowCount="1">
  <autoFilter ref="A1:L5"/>
  <tableColumns count="12">
    <tableColumn id="1" name="Package Name"/>
    <tableColumn id="2" name="Outdoor Unit"/>
    <tableColumn id="3" name="Indoor Unit"/>
    <tableColumn id="4" name="Equipment Cost"/>
    <tableColumn id="5" name="Install Cost"/>
    <tableColumn id="6" name="Permit"/>
    <tableColumn id="7" name="Accessories"/>
    <tableColumn id="8" name="Total Cost"/>
    <tableColumn id="9" name="Target Margin %"/>
    <tableColumn id="10" name="Retail Price"/>
    <tableColumn id="11" name="Estimated CaaS / Mo"/>
    <tableColumn id="12" name="Residual @ 96"/>
  </tableColumns>
  <tableStyleInfo name="TableStyleMedium9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8" customWidth="1" style="29" min="2" max="2"/>
    <col width="14" customWidth="1" style="29" min="3" max="6"/>
    <col width="10" customWidth="1" style="29" min="7" max="7"/>
    <col width="12" customWidth="1" style="29" min="8" max="9"/>
    <col width="15" customWidth="1" style="29" min="10" max="10"/>
    <col width="11" customWidth="1" style="29" min="11" max="11"/>
    <col width="10" customWidth="1" style="29" min="12" max="12"/>
    <col width="9" customWidth="1" style="29" min="13" max="13"/>
    <col width="10" customWidth="1" style="29" min="14" max="14"/>
    <col width="13" customWidth="1" style="29" min="15" max="15"/>
    <col width="11" customWidth="1" style="29" min="16" max="16"/>
    <col width="10" customWidth="1" style="29" min="17" max="17"/>
    <col width="12" customWidth="1" style="29" min="18" max="18"/>
  </cols>
  <sheetData>
    <row r="1" ht="13.5" customHeight="1" s="30">
      <c r="A1" s="31" t="inlineStr">
        <is>
          <t>CM Heating Acct #22660 · Price sheet dated 5/21/2026 · Rep: Waring, Doug</t>
        </is>
      </c>
    </row>
    <row r="2" ht="13.5" customHeight="1" s="30">
      <c r="A2" s="31" t="inlineStr">
        <is>
          <t>Payment ratio: $259.99/$21,499 = 1.2093%/mo · Residual = MSRP × (180−N)/180 · Source: executed CM Heating contract 5/18/2026</t>
        </is>
      </c>
    </row>
    <row r="3" ht="36" customHeight="1" s="30">
      <c r="A3" s="32" t="inlineStr">
        <is>
          <t>Job Type</t>
        </is>
      </c>
      <c r="B3" s="32" t="inlineStr">
        <is>
          <t>Size</t>
        </is>
      </c>
      <c r="C3" s="32" t="inlineStr">
        <is>
          <t>HP Model</t>
        </is>
      </c>
      <c r="D3" s="32" t="inlineStr">
        <is>
          <t>AC Model</t>
        </is>
      </c>
      <c r="E3" s="32" t="inlineStr">
        <is>
          <t>AH Model</t>
        </is>
      </c>
      <c r="F3" s="32" t="inlineStr">
        <is>
          <t>Furn Model</t>
        </is>
      </c>
      <c r="G3" s="32" t="inlineStr">
        <is>
          <t>Coil Model</t>
        </is>
      </c>
      <c r="H3" s="32" t="inlineStr">
        <is>
          <t>HS Model</t>
        </is>
      </c>
      <c r="I3" s="32" t="inlineStr">
        <is>
          <t>Thermo</t>
        </is>
      </c>
      <c r="J3" s="32" t="inlineStr">
        <is>
          <t>IAQ</t>
        </is>
      </c>
      <c r="K3" s="32" t="inlineStr">
        <is>
          <t>Equip Cost</t>
        </is>
      </c>
      <c r="L3" s="32" t="inlineStr">
        <is>
          <t>Labor</t>
        </is>
      </c>
      <c r="M3" s="32" t="inlineStr">
        <is>
          <t>Permit</t>
        </is>
      </c>
      <c r="N3" s="32" t="inlineStr">
        <is>
          <t>Spiff</t>
        </is>
      </c>
      <c r="O3" s="32" t="inlineStr">
        <is>
          <t>Total Job Cost</t>
        </is>
      </c>
      <c r="P3" s="32" t="inlineStr">
        <is>
          <t>MSRP</t>
        </is>
      </c>
      <c r="Q3" s="32" t="inlineStr">
        <is>
          <t>CaaS/mo</t>
        </is>
      </c>
      <c r="R3" s="32" t="inlineStr">
        <is>
          <t>Resid @ mo96</t>
        </is>
      </c>
    </row>
    <row r="4" ht="15" customHeight="1" s="30">
      <c r="A4" s="33" t="inlineStr">
        <is>
          <t>FURNACE ONLY (GF) — A801X 80% AFUE Single Stage · BTU sizing · Permit $100 · 12% spiff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5" t="n"/>
    </row>
    <row r="5" ht="18" customHeight="1" s="30">
      <c r="A5" s="36" t="inlineStr">
        <is>
          <t>GF</t>
        </is>
      </c>
      <c r="B5" s="37" t="inlineStr">
        <is>
          <t>40k</t>
        </is>
      </c>
      <c r="C5" s="38" t="inlineStr">
        <is>
          <t>-</t>
        </is>
      </c>
      <c r="D5" s="38" t="inlineStr">
        <is>
          <t>-</t>
        </is>
      </c>
      <c r="E5" s="38" t="inlineStr">
        <is>
          <t>-</t>
        </is>
      </c>
      <c r="F5" s="39" t="inlineStr">
        <is>
          <t>A801X-40k</t>
        </is>
      </c>
      <c r="G5" s="38" t="inlineStr">
        <is>
          <t>-</t>
        </is>
      </c>
      <c r="H5" s="38" t="inlineStr">
        <is>
          <t>-</t>
        </is>
      </c>
      <c r="I5" s="40" t="inlineStr">
        <is>
          <t>T-6 ($79)</t>
        </is>
      </c>
      <c r="J5" s="40" t="inlineStr">
        <is>
          <t>1" filter ($0)</t>
        </is>
      </c>
      <c r="K5" s="41" t="n">
        <v>832</v>
      </c>
      <c r="L5" s="41" t="n">
        <v>896.52</v>
      </c>
      <c r="M5" s="41" t="n">
        <v>100</v>
      </c>
      <c r="N5" s="41" t="n">
        <v>990</v>
      </c>
      <c r="O5" s="42" t="n">
        <v>1828.52</v>
      </c>
      <c r="P5" s="43" t="n">
        <v>8249</v>
      </c>
      <c r="Q5" s="44" t="n">
        <v>100</v>
      </c>
      <c r="R5" s="45" t="n">
        <v>3850</v>
      </c>
    </row>
    <row r="6" ht="18" customHeight="1" s="30">
      <c r="A6" s="46" t="inlineStr">
        <is>
          <t>GF</t>
        </is>
      </c>
      <c r="B6" s="47" t="inlineStr">
        <is>
          <t>60k</t>
        </is>
      </c>
      <c r="C6" s="48" t="inlineStr">
        <is>
          <t>-</t>
        </is>
      </c>
      <c r="D6" s="48" t="inlineStr">
        <is>
          <t>-</t>
        </is>
      </c>
      <c r="E6" s="48" t="inlineStr">
        <is>
          <t>-</t>
        </is>
      </c>
      <c r="F6" s="49" t="inlineStr">
        <is>
          <t>A801X-60k</t>
        </is>
      </c>
      <c r="G6" s="48" t="inlineStr">
        <is>
          <t>-</t>
        </is>
      </c>
      <c r="H6" s="48" t="inlineStr">
        <is>
          <t>-</t>
        </is>
      </c>
      <c r="I6" s="50" t="inlineStr">
        <is>
          <t>T-6 ($79)</t>
        </is>
      </c>
      <c r="J6" s="50" t="inlineStr">
        <is>
          <t>1" filter ($0)</t>
        </is>
      </c>
      <c r="K6" s="51" t="n">
        <v>870</v>
      </c>
      <c r="L6" s="51" t="n">
        <v>896.52</v>
      </c>
      <c r="M6" s="51" t="n">
        <v>100</v>
      </c>
      <c r="N6" s="51" t="n">
        <v>990</v>
      </c>
      <c r="O6" s="52" t="n">
        <v>1866.52</v>
      </c>
      <c r="P6" s="43" t="n">
        <v>8249</v>
      </c>
      <c r="Q6" s="44" t="n">
        <v>100</v>
      </c>
      <c r="R6" s="45" t="n">
        <v>3850</v>
      </c>
    </row>
    <row r="7" ht="18" customHeight="1" s="30">
      <c r="A7" s="36" t="inlineStr">
        <is>
          <t>GF</t>
        </is>
      </c>
      <c r="B7" s="37" t="inlineStr">
        <is>
          <t>80k</t>
        </is>
      </c>
      <c r="C7" s="38" t="inlineStr">
        <is>
          <t>-</t>
        </is>
      </c>
      <c r="D7" s="38" t="inlineStr">
        <is>
          <t>-</t>
        </is>
      </c>
      <c r="E7" s="38" t="inlineStr">
        <is>
          <t>-</t>
        </is>
      </c>
      <c r="F7" s="39" t="inlineStr">
        <is>
          <t>A801X-80k</t>
        </is>
      </c>
      <c r="G7" s="38" t="inlineStr">
        <is>
          <t>-</t>
        </is>
      </c>
      <c r="H7" s="38" t="inlineStr">
        <is>
          <t>-</t>
        </is>
      </c>
      <c r="I7" s="40" t="inlineStr">
        <is>
          <t>T-6 ($79)</t>
        </is>
      </c>
      <c r="J7" s="40" t="inlineStr">
        <is>
          <t>1" filter ($0)</t>
        </is>
      </c>
      <c r="K7" s="41" t="n">
        <v>892</v>
      </c>
      <c r="L7" s="41" t="n">
        <v>896.52</v>
      </c>
      <c r="M7" s="41" t="n">
        <v>100</v>
      </c>
      <c r="N7" s="41" t="n">
        <v>1020</v>
      </c>
      <c r="O7" s="42" t="n">
        <v>1888.52</v>
      </c>
      <c r="P7" s="43" t="n">
        <v>8499</v>
      </c>
      <c r="Q7" s="44" t="n">
        <v>103</v>
      </c>
      <c r="R7" s="45" t="n">
        <v>3966</v>
      </c>
    </row>
    <row r="8" ht="18" customHeight="1" s="30">
      <c r="A8" s="46" t="inlineStr">
        <is>
          <t>GF</t>
        </is>
      </c>
      <c r="B8" s="47" t="inlineStr">
        <is>
          <t>100k</t>
        </is>
      </c>
      <c r="C8" s="48" t="inlineStr">
        <is>
          <t>-</t>
        </is>
      </c>
      <c r="D8" s="48" t="inlineStr">
        <is>
          <t>-</t>
        </is>
      </c>
      <c r="E8" s="48" t="inlineStr">
        <is>
          <t>-</t>
        </is>
      </c>
      <c r="F8" s="49" t="inlineStr">
        <is>
          <t>A801X-100k</t>
        </is>
      </c>
      <c r="G8" s="48" t="inlineStr">
        <is>
          <t>-</t>
        </is>
      </c>
      <c r="H8" s="48" t="inlineStr">
        <is>
          <t>-</t>
        </is>
      </c>
      <c r="I8" s="50" t="inlineStr">
        <is>
          <t>T-6 ($79)</t>
        </is>
      </c>
      <c r="J8" s="50" t="inlineStr">
        <is>
          <t>1" filter ($0)</t>
        </is>
      </c>
      <c r="K8" s="51" t="n">
        <v>931</v>
      </c>
      <c r="L8" s="51" t="n">
        <v>896.52</v>
      </c>
      <c r="M8" s="51" t="n">
        <v>100</v>
      </c>
      <c r="N8" s="51" t="n">
        <v>1020</v>
      </c>
      <c r="O8" s="52" t="n">
        <v>1927.52</v>
      </c>
      <c r="P8" s="43" t="n">
        <v>8499</v>
      </c>
      <c r="Q8" s="44" t="n">
        <v>103</v>
      </c>
      <c r="R8" s="45" t="n">
        <v>3966</v>
      </c>
    </row>
    <row r="9" ht="18" customHeight="1" s="30">
      <c r="A9" s="36" t="inlineStr">
        <is>
          <t>GF</t>
        </is>
      </c>
      <c r="B9" s="37" t="inlineStr">
        <is>
          <t>120k</t>
        </is>
      </c>
      <c r="C9" s="38" t="inlineStr">
        <is>
          <t>-</t>
        </is>
      </c>
      <c r="D9" s="38" t="inlineStr">
        <is>
          <t>-</t>
        </is>
      </c>
      <c r="E9" s="38" t="inlineStr">
        <is>
          <t>-</t>
        </is>
      </c>
      <c r="F9" s="39" t="inlineStr">
        <is>
          <t>A801X-120k</t>
        </is>
      </c>
      <c r="G9" s="38" t="inlineStr">
        <is>
          <t>-</t>
        </is>
      </c>
      <c r="H9" s="38" t="inlineStr">
        <is>
          <t>-</t>
        </is>
      </c>
      <c r="I9" s="40" t="inlineStr">
        <is>
          <t>T-6 ($79)</t>
        </is>
      </c>
      <c r="J9" s="40" t="inlineStr">
        <is>
          <t>1" filter ($0)</t>
        </is>
      </c>
      <c r="K9" s="41" t="n">
        <v>950</v>
      </c>
      <c r="L9" s="41" t="n">
        <v>896.52</v>
      </c>
      <c r="M9" s="41" t="n">
        <v>100</v>
      </c>
      <c r="N9" s="41" t="n">
        <v>1020</v>
      </c>
      <c r="O9" s="42" t="n">
        <v>1946.52</v>
      </c>
      <c r="P9" s="43" t="n">
        <v>8499</v>
      </c>
      <c r="Q9" s="44" t="n">
        <v>103</v>
      </c>
      <c r="R9" s="45" t="n">
        <v>3966</v>
      </c>
    </row>
    <row r="11" ht="15" customHeight="1" s="30">
      <c r="A11" s="33" t="inlineStr">
        <is>
          <t>HEAT PUMP + COIL (HP) — A5HP4 14 SEER + 5MXC Piston Coil · Permit $169.95 · 12% spiff</t>
        </is>
      </c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5" t="n"/>
    </row>
    <row r="12" ht="18" customHeight="1" s="30">
      <c r="A12" s="36" t="inlineStr">
        <is>
          <t>HP</t>
        </is>
      </c>
      <c r="B12" s="37" t="inlineStr">
        <is>
          <t>2T</t>
        </is>
      </c>
      <c r="C12" s="39" t="inlineStr">
        <is>
          <t>A5HP4-2T</t>
        </is>
      </c>
      <c r="D12" s="38" t="inlineStr">
        <is>
          <t>-</t>
        </is>
      </c>
      <c r="E12" s="38" t="inlineStr">
        <is>
          <t>-</t>
        </is>
      </c>
      <c r="F12" s="38" t="inlineStr">
        <is>
          <t>-</t>
        </is>
      </c>
      <c r="G12" s="39" t="inlineStr">
        <is>
          <t>5MXC</t>
        </is>
      </c>
      <c r="H12" s="38" t="inlineStr">
        <is>
          <t>-</t>
        </is>
      </c>
      <c r="I12" s="40" t="inlineStr">
        <is>
          <t>T-6 ($79)</t>
        </is>
      </c>
      <c r="J12" s="40" t="inlineStr">
        <is>
          <t>1" filter ($0)</t>
        </is>
      </c>
      <c r="K12" s="41" t="n">
        <v>1885</v>
      </c>
      <c r="L12" s="41" t="n">
        <v>1593.03</v>
      </c>
      <c r="M12" s="41" t="n">
        <v>169.95</v>
      </c>
      <c r="N12" s="41" t="n">
        <v>1920</v>
      </c>
      <c r="O12" s="42" t="n">
        <v>3647.98</v>
      </c>
      <c r="P12" s="43" t="n">
        <v>15999</v>
      </c>
      <c r="Q12" s="44" t="n">
        <v>193</v>
      </c>
      <c r="R12" s="45" t="n">
        <v>7466</v>
      </c>
    </row>
    <row r="13" ht="18" customHeight="1" s="30">
      <c r="A13" s="46" t="inlineStr">
        <is>
          <t>HP</t>
        </is>
      </c>
      <c r="B13" s="47" t="inlineStr">
        <is>
          <t>2.5T</t>
        </is>
      </c>
      <c r="C13" s="49" t="inlineStr">
        <is>
          <t>A5HP4-2.5T</t>
        </is>
      </c>
      <c r="D13" s="48" t="inlineStr">
        <is>
          <t>-</t>
        </is>
      </c>
      <c r="E13" s="48" t="inlineStr">
        <is>
          <t>-</t>
        </is>
      </c>
      <c r="F13" s="48" t="inlineStr">
        <is>
          <t>-</t>
        </is>
      </c>
      <c r="G13" s="49" t="inlineStr">
        <is>
          <t>5MXC</t>
        </is>
      </c>
      <c r="H13" s="48" t="inlineStr">
        <is>
          <t>-</t>
        </is>
      </c>
      <c r="I13" s="50" t="inlineStr">
        <is>
          <t>T-6 ($79)</t>
        </is>
      </c>
      <c r="J13" s="50" t="inlineStr">
        <is>
          <t>1" filter ($0)</t>
        </is>
      </c>
      <c r="K13" s="51" t="n">
        <v>1939</v>
      </c>
      <c r="L13" s="51" t="n">
        <v>1593.03</v>
      </c>
      <c r="M13" s="51" t="n">
        <v>169.95</v>
      </c>
      <c r="N13" s="51" t="n">
        <v>1950</v>
      </c>
      <c r="O13" s="52" t="n">
        <v>3701.98</v>
      </c>
      <c r="P13" s="43" t="n">
        <v>16249</v>
      </c>
      <c r="Q13" s="44" t="n">
        <v>197</v>
      </c>
      <c r="R13" s="45" t="n">
        <v>7583</v>
      </c>
    </row>
    <row r="14" ht="18" customHeight="1" s="30">
      <c r="A14" s="36" t="inlineStr">
        <is>
          <t>HP</t>
        </is>
      </c>
      <c r="B14" s="37" t="inlineStr">
        <is>
          <t>3T</t>
        </is>
      </c>
      <c r="C14" s="39" t="inlineStr">
        <is>
          <t>A5HP4-3T</t>
        </is>
      </c>
      <c r="D14" s="38" t="inlineStr">
        <is>
          <t>-</t>
        </is>
      </c>
      <c r="E14" s="38" t="inlineStr">
        <is>
          <t>-</t>
        </is>
      </c>
      <c r="F14" s="38" t="inlineStr">
        <is>
          <t>-</t>
        </is>
      </c>
      <c r="G14" s="39" t="inlineStr">
        <is>
          <t>5MXC</t>
        </is>
      </c>
      <c r="H14" s="38" t="inlineStr">
        <is>
          <t>-</t>
        </is>
      </c>
      <c r="I14" s="40" t="inlineStr">
        <is>
          <t>T-6 ($79)</t>
        </is>
      </c>
      <c r="J14" s="40" t="inlineStr">
        <is>
          <t>1" filter ($0)</t>
        </is>
      </c>
      <c r="K14" s="41" t="n">
        <v>2008</v>
      </c>
      <c r="L14" s="41" t="n">
        <v>1593.03</v>
      </c>
      <c r="M14" s="41" t="n">
        <v>169.95</v>
      </c>
      <c r="N14" s="41" t="n">
        <v>1950</v>
      </c>
      <c r="O14" s="42" t="n">
        <v>3770.98</v>
      </c>
      <c r="P14" s="43" t="n">
        <v>16249</v>
      </c>
      <c r="Q14" s="44" t="n">
        <v>197</v>
      </c>
      <c r="R14" s="45" t="n">
        <v>7583</v>
      </c>
    </row>
    <row r="15" ht="18" customHeight="1" s="30">
      <c r="A15" s="46" t="inlineStr">
        <is>
          <t>HP</t>
        </is>
      </c>
      <c r="B15" s="47" t="inlineStr">
        <is>
          <t>3.5T</t>
        </is>
      </c>
      <c r="C15" s="49" t="inlineStr">
        <is>
          <t>A5HP4-3.5T</t>
        </is>
      </c>
      <c r="D15" s="48" t="inlineStr">
        <is>
          <t>-</t>
        </is>
      </c>
      <c r="E15" s="48" t="inlineStr">
        <is>
          <t>-</t>
        </is>
      </c>
      <c r="F15" s="48" t="inlineStr">
        <is>
          <t>-</t>
        </is>
      </c>
      <c r="G15" s="49" t="inlineStr">
        <is>
          <t>5MXC</t>
        </is>
      </c>
      <c r="H15" s="48" t="inlineStr">
        <is>
          <t>-</t>
        </is>
      </c>
      <c r="I15" s="50" t="inlineStr">
        <is>
          <t>T-6 ($79)</t>
        </is>
      </c>
      <c r="J15" s="50" t="inlineStr">
        <is>
          <t>1" filter ($0)</t>
        </is>
      </c>
      <c r="K15" s="51" t="n">
        <v>2075</v>
      </c>
      <c r="L15" s="51" t="n">
        <v>1593.03</v>
      </c>
      <c r="M15" s="51" t="n">
        <v>169.95</v>
      </c>
      <c r="N15" s="51" t="n">
        <v>1980</v>
      </c>
      <c r="O15" s="52" t="n">
        <v>3837.98</v>
      </c>
      <c r="P15" s="43" t="n">
        <v>16499</v>
      </c>
      <c r="Q15" s="44" t="n">
        <v>200</v>
      </c>
      <c r="R15" s="45" t="n">
        <v>7700</v>
      </c>
    </row>
    <row r="16" ht="18" customHeight="1" s="30">
      <c r="A16" s="36" t="inlineStr">
        <is>
          <t>HP</t>
        </is>
      </c>
      <c r="B16" s="37" t="inlineStr">
        <is>
          <t>4T</t>
        </is>
      </c>
      <c r="C16" s="39" t="inlineStr">
        <is>
          <t>A5HP4-4T</t>
        </is>
      </c>
      <c r="D16" s="38" t="inlineStr">
        <is>
          <t>-</t>
        </is>
      </c>
      <c r="E16" s="38" t="inlineStr">
        <is>
          <t>-</t>
        </is>
      </c>
      <c r="F16" s="38" t="inlineStr">
        <is>
          <t>-</t>
        </is>
      </c>
      <c r="G16" s="39" t="inlineStr">
        <is>
          <t>5MXC</t>
        </is>
      </c>
      <c r="H16" s="38" t="inlineStr">
        <is>
          <t>-</t>
        </is>
      </c>
      <c r="I16" s="40" t="inlineStr">
        <is>
          <t>T-6 ($79)</t>
        </is>
      </c>
      <c r="J16" s="40" t="inlineStr">
        <is>
          <t>1" filter ($0)</t>
        </is>
      </c>
      <c r="K16" s="41" t="n">
        <v>2170</v>
      </c>
      <c r="L16" s="41" t="n">
        <v>1593.03</v>
      </c>
      <c r="M16" s="41" t="n">
        <v>169.95</v>
      </c>
      <c r="N16" s="41" t="n">
        <v>2010</v>
      </c>
      <c r="O16" s="42" t="n">
        <v>3932.98</v>
      </c>
      <c r="P16" s="43" t="n">
        <v>16749</v>
      </c>
      <c r="Q16" s="44" t="n">
        <v>203</v>
      </c>
      <c r="R16" s="45" t="n">
        <v>7816</v>
      </c>
    </row>
    <row r="17" ht="18" customHeight="1" s="30">
      <c r="A17" s="46" t="inlineStr">
        <is>
          <t>HP</t>
        </is>
      </c>
      <c r="B17" s="47" t="inlineStr">
        <is>
          <t>5T</t>
        </is>
      </c>
      <c r="C17" s="49" t="inlineStr">
        <is>
          <t>A5HP4-5T</t>
        </is>
      </c>
      <c r="D17" s="48" t="inlineStr">
        <is>
          <t>-</t>
        </is>
      </c>
      <c r="E17" s="48" t="inlineStr">
        <is>
          <t>-</t>
        </is>
      </c>
      <c r="F17" s="48" t="inlineStr">
        <is>
          <t>-</t>
        </is>
      </c>
      <c r="G17" s="49" t="inlineStr">
        <is>
          <t>5MXC</t>
        </is>
      </c>
      <c r="H17" s="48" t="inlineStr">
        <is>
          <t>-</t>
        </is>
      </c>
      <c r="I17" s="50" t="inlineStr">
        <is>
          <t>T-6 ($79)</t>
        </is>
      </c>
      <c r="J17" s="50" t="inlineStr">
        <is>
          <t>1" filter ($0)</t>
        </is>
      </c>
      <c r="K17" s="51" t="n">
        <v>2291</v>
      </c>
      <c r="L17" s="51" t="n">
        <v>1593.03</v>
      </c>
      <c r="M17" s="51" t="n">
        <v>169.95</v>
      </c>
      <c r="N17" s="51" t="n">
        <v>2040</v>
      </c>
      <c r="O17" s="52" t="n">
        <v>4053.98</v>
      </c>
      <c r="P17" s="43" t="n">
        <v>16999</v>
      </c>
      <c r="Q17" s="44" t="n">
        <v>206</v>
      </c>
      <c r="R17" s="45" t="n">
        <v>7933</v>
      </c>
    </row>
    <row r="19" ht="15" customHeight="1" s="30">
      <c r="A19" s="33" t="inlineStr">
        <is>
          <t>AC ONLY (AC) — A5AC3 13 SEER + 5MXC Piston Coil · Permit $169.95 · $250 FLAT spiff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5" t="n"/>
    </row>
    <row r="20" ht="18" customHeight="1" s="30">
      <c r="A20" s="36" t="inlineStr">
        <is>
          <t>AC</t>
        </is>
      </c>
      <c r="B20" s="37" t="inlineStr">
        <is>
          <t>2T</t>
        </is>
      </c>
      <c r="C20" s="38" t="inlineStr">
        <is>
          <t>-</t>
        </is>
      </c>
      <c r="D20" s="39" t="inlineStr">
        <is>
          <t>A5AC3-2T</t>
        </is>
      </c>
      <c r="E20" s="38" t="inlineStr">
        <is>
          <t>-</t>
        </is>
      </c>
      <c r="F20" s="38" t="inlineStr">
        <is>
          <t>-</t>
        </is>
      </c>
      <c r="G20" s="39" t="inlineStr">
        <is>
          <t>5MXC</t>
        </is>
      </c>
      <c r="H20" s="38" t="inlineStr">
        <is>
          <t>-</t>
        </is>
      </c>
      <c r="I20" s="40" t="inlineStr">
        <is>
          <t>T-6 ($79)</t>
        </is>
      </c>
      <c r="J20" s="40" t="inlineStr">
        <is>
          <t>1" filter ($0)</t>
        </is>
      </c>
      <c r="K20" s="41" t="n">
        <v>1381</v>
      </c>
      <c r="L20" s="41" t="n">
        <v>1593.03</v>
      </c>
      <c r="M20" s="41" t="n">
        <v>169.95</v>
      </c>
      <c r="N20" s="41" t="n">
        <v>250</v>
      </c>
      <c r="O20" s="42" t="n">
        <v>3143.98</v>
      </c>
      <c r="P20" s="43" t="n">
        <v>14749</v>
      </c>
      <c r="Q20" s="44" t="n">
        <v>178</v>
      </c>
      <c r="R20" s="45" t="n">
        <v>6883</v>
      </c>
    </row>
    <row r="21" ht="18" customHeight="1" s="30">
      <c r="A21" s="46" t="inlineStr">
        <is>
          <t>AC</t>
        </is>
      </c>
      <c r="B21" s="47" t="inlineStr">
        <is>
          <t>2.5T</t>
        </is>
      </c>
      <c r="C21" s="48" t="inlineStr">
        <is>
          <t>-</t>
        </is>
      </c>
      <c r="D21" s="49" t="inlineStr">
        <is>
          <t>A5AC3-2.5T</t>
        </is>
      </c>
      <c r="E21" s="48" t="inlineStr">
        <is>
          <t>-</t>
        </is>
      </c>
      <c r="F21" s="48" t="inlineStr">
        <is>
          <t>-</t>
        </is>
      </c>
      <c r="G21" s="49" t="inlineStr">
        <is>
          <t>5MXC</t>
        </is>
      </c>
      <c r="H21" s="48" t="inlineStr">
        <is>
          <t>-</t>
        </is>
      </c>
      <c r="I21" s="50" t="inlineStr">
        <is>
          <t>T-6 ($79)</t>
        </is>
      </c>
      <c r="J21" s="50" t="inlineStr">
        <is>
          <t>1" filter ($0)</t>
        </is>
      </c>
      <c r="K21" s="51" t="n">
        <v>1436</v>
      </c>
      <c r="L21" s="51" t="n">
        <v>1593.03</v>
      </c>
      <c r="M21" s="51" t="n">
        <v>169.95</v>
      </c>
      <c r="N21" s="51" t="n">
        <v>250</v>
      </c>
      <c r="O21" s="52" t="n">
        <v>3198.98</v>
      </c>
      <c r="P21" s="43" t="n">
        <v>14999</v>
      </c>
      <c r="Q21" s="44" t="n">
        <v>181</v>
      </c>
      <c r="R21" s="45" t="n">
        <v>7000</v>
      </c>
    </row>
    <row r="22" ht="18" customHeight="1" s="30">
      <c r="A22" s="36" t="inlineStr">
        <is>
          <t>AC</t>
        </is>
      </c>
      <c r="B22" s="37" t="inlineStr">
        <is>
          <t>3T</t>
        </is>
      </c>
      <c r="C22" s="38" t="inlineStr">
        <is>
          <t>-</t>
        </is>
      </c>
      <c r="D22" s="39" t="inlineStr">
        <is>
          <t>A5AC3-3T</t>
        </is>
      </c>
      <c r="E22" s="38" t="inlineStr">
        <is>
          <t>-</t>
        </is>
      </c>
      <c r="F22" s="38" t="inlineStr">
        <is>
          <t>-</t>
        </is>
      </c>
      <c r="G22" s="39" t="inlineStr">
        <is>
          <t>5MXC</t>
        </is>
      </c>
      <c r="H22" s="38" t="inlineStr">
        <is>
          <t>-</t>
        </is>
      </c>
      <c r="I22" s="40" t="inlineStr">
        <is>
          <t>T-6 ($79)</t>
        </is>
      </c>
      <c r="J22" s="40" t="inlineStr">
        <is>
          <t>1" filter ($0)</t>
        </is>
      </c>
      <c r="K22" s="41" t="n">
        <v>1510</v>
      </c>
      <c r="L22" s="41" t="n">
        <v>1593.03</v>
      </c>
      <c r="M22" s="41" t="n">
        <v>169.95</v>
      </c>
      <c r="N22" s="41" t="n">
        <v>250</v>
      </c>
      <c r="O22" s="42" t="n">
        <v>3272.98</v>
      </c>
      <c r="P22" s="43" t="n">
        <v>14999</v>
      </c>
      <c r="Q22" s="44" t="n">
        <v>181</v>
      </c>
      <c r="R22" s="45" t="n">
        <v>7000</v>
      </c>
    </row>
    <row r="23" ht="18" customHeight="1" s="30">
      <c r="A23" s="46" t="inlineStr">
        <is>
          <t>AC</t>
        </is>
      </c>
      <c r="B23" s="47" t="inlineStr">
        <is>
          <t>3.5T</t>
        </is>
      </c>
      <c r="C23" s="48" t="inlineStr">
        <is>
          <t>-</t>
        </is>
      </c>
      <c r="D23" s="49" t="inlineStr">
        <is>
          <t>A5AC3-3.5T</t>
        </is>
      </c>
      <c r="E23" s="48" t="inlineStr">
        <is>
          <t>-</t>
        </is>
      </c>
      <c r="F23" s="48" t="inlineStr">
        <is>
          <t>-</t>
        </is>
      </c>
      <c r="G23" s="49" t="inlineStr">
        <is>
          <t>5MXC</t>
        </is>
      </c>
      <c r="H23" s="48" t="inlineStr">
        <is>
          <t>-</t>
        </is>
      </c>
      <c r="I23" s="50" t="inlineStr">
        <is>
          <t>T-6 ($79)</t>
        </is>
      </c>
      <c r="J23" s="50" t="inlineStr">
        <is>
          <t>1" filter ($0)</t>
        </is>
      </c>
      <c r="K23" s="51" t="n">
        <v>1581</v>
      </c>
      <c r="L23" s="51" t="n">
        <v>1593.03</v>
      </c>
      <c r="M23" s="51" t="n">
        <v>169.95</v>
      </c>
      <c r="N23" s="51" t="n">
        <v>250</v>
      </c>
      <c r="O23" s="52" t="n">
        <v>3343.98</v>
      </c>
      <c r="P23" s="43" t="n">
        <v>15249</v>
      </c>
      <c r="Q23" s="44" t="n">
        <v>184</v>
      </c>
      <c r="R23" s="45" t="n">
        <v>7116</v>
      </c>
    </row>
    <row r="24" ht="18" customHeight="1" s="30">
      <c r="A24" s="36" t="inlineStr">
        <is>
          <t>AC</t>
        </is>
      </c>
      <c r="B24" s="37" t="inlineStr">
        <is>
          <t>4T</t>
        </is>
      </c>
      <c r="C24" s="38" t="inlineStr">
        <is>
          <t>-</t>
        </is>
      </c>
      <c r="D24" s="39" t="inlineStr">
        <is>
          <t>A5AC3-4T</t>
        </is>
      </c>
      <c r="E24" s="38" t="inlineStr">
        <is>
          <t>-</t>
        </is>
      </c>
      <c r="F24" s="38" t="inlineStr">
        <is>
          <t>-</t>
        </is>
      </c>
      <c r="G24" s="39" t="inlineStr">
        <is>
          <t>5MXC</t>
        </is>
      </c>
      <c r="H24" s="38" t="inlineStr">
        <is>
          <t>-</t>
        </is>
      </c>
      <c r="I24" s="40" t="inlineStr">
        <is>
          <t>T-6 ($79)</t>
        </is>
      </c>
      <c r="J24" s="40" t="inlineStr">
        <is>
          <t>1" filter ($0)</t>
        </is>
      </c>
      <c r="K24" s="41" t="n">
        <v>1677</v>
      </c>
      <c r="L24" s="41" t="n">
        <v>1593.03</v>
      </c>
      <c r="M24" s="41" t="n">
        <v>169.95</v>
      </c>
      <c r="N24" s="41" t="n">
        <v>250</v>
      </c>
      <c r="O24" s="42" t="n">
        <v>3439.98</v>
      </c>
      <c r="P24" s="43" t="n">
        <v>15499</v>
      </c>
      <c r="Q24" s="44" t="n">
        <v>187</v>
      </c>
      <c r="R24" s="45" t="n">
        <v>7233</v>
      </c>
    </row>
    <row r="25" ht="18" customHeight="1" s="30">
      <c r="A25" s="46" t="inlineStr">
        <is>
          <t>AC</t>
        </is>
      </c>
      <c r="B25" s="47" t="inlineStr">
        <is>
          <t>5T</t>
        </is>
      </c>
      <c r="C25" s="48" t="inlineStr">
        <is>
          <t>-</t>
        </is>
      </c>
      <c r="D25" s="49" t="inlineStr">
        <is>
          <t>A5AC3-5T</t>
        </is>
      </c>
      <c r="E25" s="48" t="inlineStr">
        <is>
          <t>-</t>
        </is>
      </c>
      <c r="F25" s="48" t="inlineStr">
        <is>
          <t>-</t>
        </is>
      </c>
      <c r="G25" s="49" t="inlineStr">
        <is>
          <t>5MXC</t>
        </is>
      </c>
      <c r="H25" s="48" t="inlineStr">
        <is>
          <t>-</t>
        </is>
      </c>
      <c r="I25" s="50" t="inlineStr">
        <is>
          <t>T-6 ($79)</t>
        </is>
      </c>
      <c r="J25" s="50" t="inlineStr">
        <is>
          <t>1" filter ($0)</t>
        </is>
      </c>
      <c r="K25" s="51" t="n">
        <v>1803</v>
      </c>
      <c r="L25" s="51" t="n">
        <v>1593.03</v>
      </c>
      <c r="M25" s="51" t="n">
        <v>169.95</v>
      </c>
      <c r="N25" s="51" t="n">
        <v>250</v>
      </c>
      <c r="O25" s="52" t="n">
        <v>3565.98</v>
      </c>
      <c r="P25" s="43" t="n">
        <v>15749</v>
      </c>
      <c r="Q25" s="44" t="n">
        <v>190</v>
      </c>
      <c r="R25" s="45" t="n">
        <v>7350</v>
      </c>
    </row>
    <row r="27" ht="15" customHeight="1" s="30">
      <c r="A27" s="33" t="inlineStr">
        <is>
          <t>HP + AIR HANDLER (HPAH) — A5HP4 + A5AHC + BAYHTR1510 10KW Heat Strip · Permit $169.95 · 12% spiff</t>
        </is>
      </c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5" t="n"/>
    </row>
    <row r="28" ht="18" customHeight="1" s="30">
      <c r="A28" s="36" t="inlineStr">
        <is>
          <t>HPAH</t>
        </is>
      </c>
      <c r="B28" s="37" t="inlineStr">
        <is>
          <t>2T</t>
        </is>
      </c>
      <c r="C28" s="39" t="inlineStr">
        <is>
          <t>A5HP4-2T</t>
        </is>
      </c>
      <c r="D28" s="38" t="inlineStr">
        <is>
          <t>-</t>
        </is>
      </c>
      <c r="E28" s="39" t="inlineStr">
        <is>
          <t>A5AHC-2T</t>
        </is>
      </c>
      <c r="F28" s="38" t="inlineStr">
        <is>
          <t>-</t>
        </is>
      </c>
      <c r="G28" s="38" t="inlineStr">
        <is>
          <t>-</t>
        </is>
      </c>
      <c r="H28" s="39" t="inlineStr">
        <is>
          <t>BAYHTR1510</t>
        </is>
      </c>
      <c r="I28" s="40" t="inlineStr">
        <is>
          <t>T-6 ($79)</t>
        </is>
      </c>
      <c r="J28" s="40" t="inlineStr">
        <is>
          <t>1" filter ($0)</t>
        </is>
      </c>
      <c r="K28" s="41" t="n">
        <v>2378</v>
      </c>
      <c r="L28" s="41" t="n">
        <v>1593.03</v>
      </c>
      <c r="M28" s="41" t="n">
        <v>169.95</v>
      </c>
      <c r="N28" s="41" t="n">
        <v>2070</v>
      </c>
      <c r="O28" s="42" t="n">
        <v>4140.98</v>
      </c>
      <c r="P28" s="43" t="n">
        <v>17249</v>
      </c>
      <c r="Q28" s="44" t="n">
        <v>209</v>
      </c>
      <c r="R28" s="45" t="n">
        <v>8050</v>
      </c>
    </row>
    <row r="29" ht="18" customHeight="1" s="30">
      <c r="A29" s="46" t="inlineStr">
        <is>
          <t>HPAH</t>
        </is>
      </c>
      <c r="B29" s="47" t="inlineStr">
        <is>
          <t>2.5T</t>
        </is>
      </c>
      <c r="C29" s="49" t="inlineStr">
        <is>
          <t>A5HP4-2.5T</t>
        </is>
      </c>
      <c r="D29" s="48" t="inlineStr">
        <is>
          <t>-</t>
        </is>
      </c>
      <c r="E29" s="49" t="inlineStr">
        <is>
          <t>A5AHC-2.5T</t>
        </is>
      </c>
      <c r="F29" s="48" t="inlineStr">
        <is>
          <t>-</t>
        </is>
      </c>
      <c r="G29" s="48" t="inlineStr">
        <is>
          <t>-</t>
        </is>
      </c>
      <c r="H29" s="49" t="inlineStr">
        <is>
          <t>BAYHTR1510</t>
        </is>
      </c>
      <c r="I29" s="50" t="inlineStr">
        <is>
          <t>T-6 ($79)</t>
        </is>
      </c>
      <c r="J29" s="50" t="inlineStr">
        <is>
          <t>1" filter ($0)</t>
        </is>
      </c>
      <c r="K29" s="51" t="n">
        <v>2531</v>
      </c>
      <c r="L29" s="51" t="n">
        <v>1593.03</v>
      </c>
      <c r="M29" s="51" t="n">
        <v>169.95</v>
      </c>
      <c r="N29" s="51" t="n">
        <v>2100</v>
      </c>
      <c r="O29" s="52" t="n">
        <v>4293.98</v>
      </c>
      <c r="P29" s="43" t="n">
        <v>17499</v>
      </c>
      <c r="Q29" s="44" t="n">
        <v>212</v>
      </c>
      <c r="R29" s="45" t="n">
        <v>8166</v>
      </c>
    </row>
    <row r="30" ht="18" customHeight="1" s="30">
      <c r="A30" s="36" t="inlineStr">
        <is>
          <t>HPAH</t>
        </is>
      </c>
      <c r="B30" s="37" t="inlineStr">
        <is>
          <t>3T</t>
        </is>
      </c>
      <c r="C30" s="39" t="inlineStr">
        <is>
          <t>A5HP4-3T</t>
        </is>
      </c>
      <c r="D30" s="38" t="inlineStr">
        <is>
          <t>-</t>
        </is>
      </c>
      <c r="E30" s="39" t="inlineStr">
        <is>
          <t>A5AHC-3T</t>
        </is>
      </c>
      <c r="F30" s="38" t="inlineStr">
        <is>
          <t>-</t>
        </is>
      </c>
      <c r="G30" s="38" t="inlineStr">
        <is>
          <t>-</t>
        </is>
      </c>
      <c r="H30" s="39" t="inlineStr">
        <is>
          <t>BAYHTR1510</t>
        </is>
      </c>
      <c r="I30" s="40" t="inlineStr">
        <is>
          <t>T-6 ($79)</t>
        </is>
      </c>
      <c r="J30" s="40" t="inlineStr">
        <is>
          <t>1" filter ($0)</t>
        </is>
      </c>
      <c r="K30" s="41" t="n">
        <v>2610</v>
      </c>
      <c r="L30" s="41" t="n">
        <v>1593.03</v>
      </c>
      <c r="M30" s="41" t="n">
        <v>169.95</v>
      </c>
      <c r="N30" s="41" t="n">
        <v>2130</v>
      </c>
      <c r="O30" s="42" t="n">
        <v>4372.98</v>
      </c>
      <c r="P30" s="43" t="n">
        <v>17749</v>
      </c>
      <c r="Q30" s="44" t="n">
        <v>215</v>
      </c>
      <c r="R30" s="45" t="n">
        <v>8283</v>
      </c>
    </row>
    <row r="31" ht="18" customHeight="1" s="30">
      <c r="A31" s="46" t="inlineStr">
        <is>
          <t>HPAH</t>
        </is>
      </c>
      <c r="B31" s="47" t="inlineStr">
        <is>
          <t>3.5T</t>
        </is>
      </c>
      <c r="C31" s="49" t="inlineStr">
        <is>
          <t>A5HP4-3.5T</t>
        </is>
      </c>
      <c r="D31" s="48" t="inlineStr">
        <is>
          <t>-</t>
        </is>
      </c>
      <c r="E31" s="49" t="inlineStr">
        <is>
          <t>A5AHC-3.5T</t>
        </is>
      </c>
      <c r="F31" s="48" t="inlineStr">
        <is>
          <t>-</t>
        </is>
      </c>
      <c r="G31" s="48" t="inlineStr">
        <is>
          <t>-</t>
        </is>
      </c>
      <c r="H31" s="49" t="inlineStr">
        <is>
          <t>BAYHTR1510</t>
        </is>
      </c>
      <c r="I31" s="50" t="inlineStr">
        <is>
          <t>T-6 ($79)</t>
        </is>
      </c>
      <c r="J31" s="50" t="inlineStr">
        <is>
          <t>1" filter ($0)</t>
        </is>
      </c>
      <c r="K31" s="51" t="n">
        <v>2662</v>
      </c>
      <c r="L31" s="51" t="n">
        <v>1593.03</v>
      </c>
      <c r="M31" s="51" t="n">
        <v>169.95</v>
      </c>
      <c r="N31" s="51" t="n">
        <v>2160</v>
      </c>
      <c r="O31" s="52" t="n">
        <v>4424.98</v>
      </c>
      <c r="P31" s="43" t="n">
        <v>17999</v>
      </c>
      <c r="Q31" s="44" t="n">
        <v>218</v>
      </c>
      <c r="R31" s="45" t="n">
        <v>8400</v>
      </c>
    </row>
    <row r="32" ht="18" customHeight="1" s="30">
      <c r="A32" s="36" t="inlineStr">
        <is>
          <t>HPAH</t>
        </is>
      </c>
      <c r="B32" s="37" t="inlineStr">
        <is>
          <t>4T</t>
        </is>
      </c>
      <c r="C32" s="39" t="inlineStr">
        <is>
          <t>A5HP4-4T</t>
        </is>
      </c>
      <c r="D32" s="38" t="inlineStr">
        <is>
          <t>-</t>
        </is>
      </c>
      <c r="E32" s="39" t="inlineStr">
        <is>
          <t>A5AHC-4T</t>
        </is>
      </c>
      <c r="F32" s="38" t="inlineStr">
        <is>
          <t>-</t>
        </is>
      </c>
      <c r="G32" s="38" t="inlineStr">
        <is>
          <t>-</t>
        </is>
      </c>
      <c r="H32" s="39" t="inlineStr">
        <is>
          <t>BAYHTR1510</t>
        </is>
      </c>
      <c r="I32" s="40" t="inlineStr">
        <is>
          <t>T-6 ($79)</t>
        </is>
      </c>
      <c r="J32" s="40" t="inlineStr">
        <is>
          <t>1" filter ($0)</t>
        </is>
      </c>
      <c r="K32" s="41" t="n">
        <v>2759</v>
      </c>
      <c r="L32" s="41" t="n">
        <v>1593.03</v>
      </c>
      <c r="M32" s="41" t="n">
        <v>169.95</v>
      </c>
      <c r="N32" s="41" t="n">
        <v>2250</v>
      </c>
      <c r="O32" s="42" t="n">
        <v>4521.98</v>
      </c>
      <c r="P32" s="43" t="n">
        <v>18749</v>
      </c>
      <c r="Q32" s="44" t="n">
        <v>227</v>
      </c>
      <c r="R32" s="45" t="n">
        <v>8750</v>
      </c>
    </row>
    <row r="33" ht="18" customHeight="1" s="30">
      <c r="A33" s="46" t="inlineStr">
        <is>
          <t>HPAH</t>
        </is>
      </c>
      <c r="B33" s="47" t="inlineStr">
        <is>
          <t>5T</t>
        </is>
      </c>
      <c r="C33" s="49" t="inlineStr">
        <is>
          <t>A5HP4-5T</t>
        </is>
      </c>
      <c r="D33" s="48" t="inlineStr">
        <is>
          <t>-</t>
        </is>
      </c>
      <c r="E33" s="49" t="inlineStr">
        <is>
          <t>A5AHC-5T</t>
        </is>
      </c>
      <c r="F33" s="48" t="inlineStr">
        <is>
          <t>-</t>
        </is>
      </c>
      <c r="G33" s="48" t="inlineStr">
        <is>
          <t>-</t>
        </is>
      </c>
      <c r="H33" s="49" t="inlineStr">
        <is>
          <t>BAYHTR1510</t>
        </is>
      </c>
      <c r="I33" s="50" t="inlineStr">
        <is>
          <t>T-6 ($79)</t>
        </is>
      </c>
      <c r="J33" s="50" t="inlineStr">
        <is>
          <t>1" filter ($0)</t>
        </is>
      </c>
      <c r="K33" s="51" t="n">
        <v>3057</v>
      </c>
      <c r="L33" s="51" t="n">
        <v>1593.03</v>
      </c>
      <c r="M33" s="51" t="n">
        <v>169.95</v>
      </c>
      <c r="N33" s="51" t="n">
        <v>2310</v>
      </c>
      <c r="O33" s="52" t="n">
        <v>4819.98</v>
      </c>
      <c r="P33" s="43" t="n">
        <v>19249</v>
      </c>
      <c r="Q33" s="44" t="n">
        <v>233</v>
      </c>
      <c r="R33" s="45" t="n">
        <v>8983</v>
      </c>
    </row>
    <row r="35" ht="15" customHeight="1" s="30">
      <c r="A35" s="33" t="inlineStr">
        <is>
          <t>DUAL FUEL (DF) — A5HP4 + A801X + 5MXC Coil · BTU paired to tonnage · Permit $169.95 · 12% spiff</t>
        </is>
      </c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5" t="n"/>
    </row>
    <row r="36" ht="18" customHeight="1" s="30">
      <c r="A36" s="36" t="inlineStr">
        <is>
          <t>DF</t>
        </is>
      </c>
      <c r="B36" s="37" t="inlineStr">
        <is>
          <t>2T/40k</t>
        </is>
      </c>
      <c r="C36" s="39" t="inlineStr">
        <is>
          <t>A5HP4-2T</t>
        </is>
      </c>
      <c r="D36" s="38" t="inlineStr">
        <is>
          <t>-</t>
        </is>
      </c>
      <c r="E36" s="38" t="inlineStr">
        <is>
          <t>-</t>
        </is>
      </c>
      <c r="F36" s="39" t="inlineStr">
        <is>
          <t>A801X-40k</t>
        </is>
      </c>
      <c r="G36" s="39" t="inlineStr">
        <is>
          <t>5MXC</t>
        </is>
      </c>
      <c r="H36" s="38" t="inlineStr">
        <is>
          <t>-</t>
        </is>
      </c>
      <c r="I36" s="40" t="inlineStr">
        <is>
          <t>T-6 ($79)</t>
        </is>
      </c>
      <c r="J36" s="40" t="inlineStr">
        <is>
          <t>1" filter ($0)</t>
        </is>
      </c>
      <c r="K36" s="41" t="n">
        <v>2638</v>
      </c>
      <c r="L36" s="41" t="n">
        <v>1593.03</v>
      </c>
      <c r="M36" s="41" t="n">
        <v>169.95</v>
      </c>
      <c r="N36" s="41" t="n">
        <v>2190</v>
      </c>
      <c r="O36" s="42" t="n">
        <v>4400.98</v>
      </c>
      <c r="P36" s="43" t="n">
        <v>18249</v>
      </c>
      <c r="Q36" s="44" t="n">
        <v>221</v>
      </c>
      <c r="R36" s="45" t="n">
        <v>8516</v>
      </c>
    </row>
    <row r="37" ht="18" customHeight="1" s="30">
      <c r="A37" s="46" t="inlineStr">
        <is>
          <t>DF</t>
        </is>
      </c>
      <c r="B37" s="47" t="inlineStr">
        <is>
          <t>2.5T/60k</t>
        </is>
      </c>
      <c r="C37" s="49" t="inlineStr">
        <is>
          <t>A5HP4-2.5T</t>
        </is>
      </c>
      <c r="D37" s="48" t="inlineStr">
        <is>
          <t>-</t>
        </is>
      </c>
      <c r="E37" s="48" t="inlineStr">
        <is>
          <t>-</t>
        </is>
      </c>
      <c r="F37" s="49" t="inlineStr">
        <is>
          <t>A801X-60k</t>
        </is>
      </c>
      <c r="G37" s="49" t="inlineStr">
        <is>
          <t>5MXC</t>
        </is>
      </c>
      <c r="H37" s="48" t="inlineStr">
        <is>
          <t>-</t>
        </is>
      </c>
      <c r="I37" s="50" t="inlineStr">
        <is>
          <t>T-6 ($79)</t>
        </is>
      </c>
      <c r="J37" s="50" t="inlineStr">
        <is>
          <t>1" filter ($0)</t>
        </is>
      </c>
      <c r="K37" s="51" t="n">
        <v>2730</v>
      </c>
      <c r="L37" s="51" t="n">
        <v>1593.03</v>
      </c>
      <c r="M37" s="51" t="n">
        <v>169.95</v>
      </c>
      <c r="N37" s="51" t="n">
        <v>2250</v>
      </c>
      <c r="O37" s="52" t="n">
        <v>4492.98</v>
      </c>
      <c r="P37" s="43" t="n">
        <v>18749</v>
      </c>
      <c r="Q37" s="44" t="n">
        <v>227</v>
      </c>
      <c r="R37" s="45" t="n">
        <v>8750</v>
      </c>
    </row>
    <row r="38" ht="18" customHeight="1" s="30">
      <c r="A38" s="36" t="inlineStr">
        <is>
          <t>DF</t>
        </is>
      </c>
      <c r="B38" s="37" t="inlineStr">
        <is>
          <t>3T/80k</t>
        </is>
      </c>
      <c r="C38" s="39" t="inlineStr">
        <is>
          <t>A5HP4-3T</t>
        </is>
      </c>
      <c r="D38" s="38" t="inlineStr">
        <is>
          <t>-</t>
        </is>
      </c>
      <c r="E38" s="38" t="inlineStr">
        <is>
          <t>-</t>
        </is>
      </c>
      <c r="F38" s="39" t="inlineStr">
        <is>
          <t>A801X-80k</t>
        </is>
      </c>
      <c r="G38" s="39" t="inlineStr">
        <is>
          <t>5MXC</t>
        </is>
      </c>
      <c r="H38" s="38" t="inlineStr">
        <is>
          <t>-</t>
        </is>
      </c>
      <c r="I38" s="40" t="inlineStr">
        <is>
          <t>T-6 ($79)</t>
        </is>
      </c>
      <c r="J38" s="40" t="inlineStr">
        <is>
          <t>1" filter ($0)</t>
        </is>
      </c>
      <c r="K38" s="41" t="n">
        <v>2821</v>
      </c>
      <c r="L38" s="41" t="n">
        <v>1593.03</v>
      </c>
      <c r="M38" s="41" t="n">
        <v>169.95</v>
      </c>
      <c r="N38" s="41" t="n">
        <v>2250</v>
      </c>
      <c r="O38" s="42" t="n">
        <v>4583.98</v>
      </c>
      <c r="P38" s="43" t="n">
        <v>18749</v>
      </c>
      <c r="Q38" s="44" t="n">
        <v>227</v>
      </c>
      <c r="R38" s="45" t="n">
        <v>8750</v>
      </c>
    </row>
    <row r="39" ht="18" customHeight="1" s="30">
      <c r="A39" s="46" t="inlineStr">
        <is>
          <t>DF</t>
        </is>
      </c>
      <c r="B39" s="47" t="inlineStr">
        <is>
          <t>3.5T/100k</t>
        </is>
      </c>
      <c r="C39" s="49" t="inlineStr">
        <is>
          <t>A5HP4-3.5T</t>
        </is>
      </c>
      <c r="D39" s="48" t="inlineStr">
        <is>
          <t>-</t>
        </is>
      </c>
      <c r="E39" s="48" t="inlineStr">
        <is>
          <t>-</t>
        </is>
      </c>
      <c r="F39" s="49" t="inlineStr">
        <is>
          <t>A801X-100k</t>
        </is>
      </c>
      <c r="G39" s="49" t="inlineStr">
        <is>
          <t>5MXC</t>
        </is>
      </c>
      <c r="H39" s="48" t="inlineStr">
        <is>
          <t>-</t>
        </is>
      </c>
      <c r="I39" s="50" t="inlineStr">
        <is>
          <t>T-6 ($79)</t>
        </is>
      </c>
      <c r="J39" s="50" t="inlineStr">
        <is>
          <t>1" filter ($0)</t>
        </is>
      </c>
      <c r="K39" s="51" t="n">
        <v>2927</v>
      </c>
      <c r="L39" s="51" t="n">
        <v>1593.03</v>
      </c>
      <c r="M39" s="51" t="n">
        <v>169.95</v>
      </c>
      <c r="N39" s="51" t="n">
        <v>2310</v>
      </c>
      <c r="O39" s="52" t="n">
        <v>4689.98</v>
      </c>
      <c r="P39" s="43" t="n">
        <v>19249</v>
      </c>
      <c r="Q39" s="44" t="n">
        <v>233</v>
      </c>
      <c r="R39" s="45" t="n">
        <v>8983</v>
      </c>
    </row>
    <row r="40" ht="18" customHeight="1" s="30">
      <c r="A40" s="36" t="inlineStr">
        <is>
          <t>DF</t>
        </is>
      </c>
      <c r="B40" s="37" t="inlineStr">
        <is>
          <t>4T/120k</t>
        </is>
      </c>
      <c r="C40" s="39" t="inlineStr">
        <is>
          <t>A5HP4-4T</t>
        </is>
      </c>
      <c r="D40" s="38" t="inlineStr">
        <is>
          <t>-</t>
        </is>
      </c>
      <c r="E40" s="38" t="inlineStr">
        <is>
          <t>-</t>
        </is>
      </c>
      <c r="F40" s="39" t="inlineStr">
        <is>
          <t>A801X-120k</t>
        </is>
      </c>
      <c r="G40" s="39" t="inlineStr">
        <is>
          <t>5MXC</t>
        </is>
      </c>
      <c r="H40" s="38" t="inlineStr">
        <is>
          <t>-</t>
        </is>
      </c>
      <c r="I40" s="40" t="inlineStr">
        <is>
          <t>T-6 ($79)</t>
        </is>
      </c>
      <c r="J40" s="40" t="inlineStr">
        <is>
          <t>1" filter ($0)</t>
        </is>
      </c>
      <c r="K40" s="41" t="n">
        <v>3041</v>
      </c>
      <c r="L40" s="41" t="n">
        <v>1593.03</v>
      </c>
      <c r="M40" s="41" t="n">
        <v>169.95</v>
      </c>
      <c r="N40" s="41" t="n">
        <v>2310</v>
      </c>
      <c r="O40" s="42" t="n">
        <v>4803.98</v>
      </c>
      <c r="P40" s="43" t="n">
        <v>19249</v>
      </c>
      <c r="Q40" s="44" t="n">
        <v>233</v>
      </c>
      <c r="R40" s="45" t="n">
        <v>8983</v>
      </c>
    </row>
    <row r="41" ht="18" customHeight="1" s="30">
      <c r="A41" s="46" t="inlineStr">
        <is>
          <t>DF</t>
        </is>
      </c>
      <c r="B41" s="47" t="inlineStr">
        <is>
          <t>5T/120k</t>
        </is>
      </c>
      <c r="C41" s="49" t="inlineStr">
        <is>
          <t>A5HP4-5T</t>
        </is>
      </c>
      <c r="D41" s="48" t="inlineStr">
        <is>
          <t>-</t>
        </is>
      </c>
      <c r="E41" s="48" t="inlineStr">
        <is>
          <t>-</t>
        </is>
      </c>
      <c r="F41" s="49" t="inlineStr">
        <is>
          <t>A801X-120k</t>
        </is>
      </c>
      <c r="G41" s="49" t="inlineStr">
        <is>
          <t>5MXC</t>
        </is>
      </c>
      <c r="H41" s="48" t="inlineStr">
        <is>
          <t>-</t>
        </is>
      </c>
      <c r="I41" s="50" t="inlineStr">
        <is>
          <t>T-6 ($79)</t>
        </is>
      </c>
      <c r="J41" s="50" t="inlineStr">
        <is>
          <t>1" filter ($0)</t>
        </is>
      </c>
      <c r="K41" s="51" t="n">
        <v>3162</v>
      </c>
      <c r="L41" s="51" t="n">
        <v>1593.03</v>
      </c>
      <c r="M41" s="51" t="n">
        <v>169.95</v>
      </c>
      <c r="N41" s="51" t="n">
        <v>2370</v>
      </c>
      <c r="O41" s="52" t="n">
        <v>4924.98</v>
      </c>
      <c r="P41" s="43" t="n">
        <v>19749</v>
      </c>
      <c r="Q41" s="44" t="n">
        <v>239</v>
      </c>
      <c r="R41" s="45" t="n">
        <v>9216</v>
      </c>
    </row>
    <row r="43" ht="15" customHeight="1" s="30">
      <c r="A43" s="33" t="inlineStr">
        <is>
          <t>FULL SYSTEM (ACGF) — A5AC3 + A801X + 5MXC Coil · BTU paired to tonnage · Permit $169.95 · $250 FLAT spiff</t>
        </is>
      </c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5" t="n"/>
    </row>
    <row r="44" ht="18" customHeight="1" s="30">
      <c r="A44" s="36" t="inlineStr">
        <is>
          <t>ACGF</t>
        </is>
      </c>
      <c r="B44" s="37" t="inlineStr">
        <is>
          <t>2T/40k</t>
        </is>
      </c>
      <c r="C44" s="38" t="inlineStr">
        <is>
          <t>-</t>
        </is>
      </c>
      <c r="D44" s="39" t="inlineStr">
        <is>
          <t>A5AC3-2T</t>
        </is>
      </c>
      <c r="E44" s="38" t="inlineStr">
        <is>
          <t>-</t>
        </is>
      </c>
      <c r="F44" s="39" t="inlineStr">
        <is>
          <t>A801X-40k</t>
        </is>
      </c>
      <c r="G44" s="39" t="inlineStr">
        <is>
          <t>5MXC</t>
        </is>
      </c>
      <c r="H44" s="38" t="inlineStr">
        <is>
          <t>-</t>
        </is>
      </c>
      <c r="I44" s="40" t="inlineStr">
        <is>
          <t>T-6 ($79)</t>
        </is>
      </c>
      <c r="J44" s="40" t="inlineStr">
        <is>
          <t>1" filter ($0)</t>
        </is>
      </c>
      <c r="K44" s="41" t="n">
        <v>2134</v>
      </c>
      <c r="L44" s="41" t="n">
        <v>1593.03</v>
      </c>
      <c r="M44" s="41" t="n">
        <v>169.95</v>
      </c>
      <c r="N44" s="41" t="n">
        <v>250</v>
      </c>
      <c r="O44" s="42" t="n">
        <v>3896.98</v>
      </c>
      <c r="P44" s="43" t="n">
        <v>18749</v>
      </c>
      <c r="Q44" s="44" t="n">
        <v>227</v>
      </c>
      <c r="R44" s="45" t="n">
        <v>8750</v>
      </c>
    </row>
    <row r="45" ht="18" customHeight="1" s="30">
      <c r="A45" s="46" t="inlineStr">
        <is>
          <t>ACGF</t>
        </is>
      </c>
      <c r="B45" s="47" t="inlineStr">
        <is>
          <t>2.5T/60k</t>
        </is>
      </c>
      <c r="C45" s="48" t="inlineStr">
        <is>
          <t>-</t>
        </is>
      </c>
      <c r="D45" s="49" t="inlineStr">
        <is>
          <t>A5AC3-2.5T</t>
        </is>
      </c>
      <c r="E45" s="48" t="inlineStr">
        <is>
          <t>-</t>
        </is>
      </c>
      <c r="F45" s="49" t="inlineStr">
        <is>
          <t>A801X-60k</t>
        </is>
      </c>
      <c r="G45" s="49" t="inlineStr">
        <is>
          <t>5MXC</t>
        </is>
      </c>
      <c r="H45" s="48" t="inlineStr">
        <is>
          <t>-</t>
        </is>
      </c>
      <c r="I45" s="50" t="inlineStr">
        <is>
          <t>T-6 ($79)</t>
        </is>
      </c>
      <c r="J45" s="50" t="inlineStr">
        <is>
          <t>1" filter ($0)</t>
        </is>
      </c>
      <c r="K45" s="51" t="n">
        <v>2227</v>
      </c>
      <c r="L45" s="51" t="n">
        <v>1593.03</v>
      </c>
      <c r="M45" s="51" t="n">
        <v>169.95</v>
      </c>
      <c r="N45" s="51" t="n">
        <v>250</v>
      </c>
      <c r="O45" s="52" t="n">
        <v>3989.98</v>
      </c>
      <c r="P45" s="43" t="n">
        <v>18999</v>
      </c>
      <c r="Q45" s="44" t="n">
        <v>230</v>
      </c>
      <c r="R45" s="45" t="n">
        <v>8866</v>
      </c>
    </row>
    <row r="46" ht="18" customHeight="1" s="30">
      <c r="A46" s="36" t="inlineStr">
        <is>
          <t>ACGF</t>
        </is>
      </c>
      <c r="B46" s="37" t="inlineStr">
        <is>
          <t>3T/80k</t>
        </is>
      </c>
      <c r="C46" s="38" t="inlineStr">
        <is>
          <t>-</t>
        </is>
      </c>
      <c r="D46" s="39" t="inlineStr">
        <is>
          <t>A5AC3-3T</t>
        </is>
      </c>
      <c r="E46" s="38" t="inlineStr">
        <is>
          <t>-</t>
        </is>
      </c>
      <c r="F46" s="39" t="inlineStr">
        <is>
          <t>A801X-80k</t>
        </is>
      </c>
      <c r="G46" s="39" t="inlineStr">
        <is>
          <t>5MXC</t>
        </is>
      </c>
      <c r="H46" s="38" t="inlineStr">
        <is>
          <t>-</t>
        </is>
      </c>
      <c r="I46" s="40" t="inlineStr">
        <is>
          <t>T-6 ($79)</t>
        </is>
      </c>
      <c r="J46" s="40" t="inlineStr">
        <is>
          <t>1" filter ($0)</t>
        </is>
      </c>
      <c r="K46" s="41" t="n">
        <v>2323</v>
      </c>
      <c r="L46" s="41" t="n">
        <v>1593.03</v>
      </c>
      <c r="M46" s="41" t="n">
        <v>169.95</v>
      </c>
      <c r="N46" s="41" t="n">
        <v>250</v>
      </c>
      <c r="O46" s="42" t="n">
        <v>4085.98</v>
      </c>
      <c r="P46" s="43" t="n">
        <v>18999</v>
      </c>
      <c r="Q46" s="44" t="n">
        <v>230</v>
      </c>
      <c r="R46" s="45" t="n">
        <v>8866</v>
      </c>
    </row>
    <row r="47" ht="18" customHeight="1" s="30">
      <c r="A47" s="46" t="inlineStr">
        <is>
          <t>ACGF</t>
        </is>
      </c>
      <c r="B47" s="47" t="inlineStr">
        <is>
          <t>3.5T/100k</t>
        </is>
      </c>
      <c r="C47" s="48" t="inlineStr">
        <is>
          <t>-</t>
        </is>
      </c>
      <c r="D47" s="49" t="inlineStr">
        <is>
          <t>A5AC3-3.5T</t>
        </is>
      </c>
      <c r="E47" s="48" t="inlineStr">
        <is>
          <t>-</t>
        </is>
      </c>
      <c r="F47" s="49" t="inlineStr">
        <is>
          <t>A801X-100k</t>
        </is>
      </c>
      <c r="G47" s="49" t="inlineStr">
        <is>
          <t>5MXC</t>
        </is>
      </c>
      <c r="H47" s="48" t="inlineStr">
        <is>
          <t>-</t>
        </is>
      </c>
      <c r="I47" s="50" t="inlineStr">
        <is>
          <t>T-6 ($79)</t>
        </is>
      </c>
      <c r="J47" s="50" t="inlineStr">
        <is>
          <t>1" filter ($0)</t>
        </is>
      </c>
      <c r="K47" s="51" t="n">
        <v>2433</v>
      </c>
      <c r="L47" s="51" t="n">
        <v>1593.03</v>
      </c>
      <c r="M47" s="51" t="n">
        <v>169.95</v>
      </c>
      <c r="N47" s="51" t="n">
        <v>250</v>
      </c>
      <c r="O47" s="52" t="n">
        <v>4195.98</v>
      </c>
      <c r="P47" s="43" t="n">
        <v>19249</v>
      </c>
      <c r="Q47" s="44" t="n">
        <v>233</v>
      </c>
      <c r="R47" s="45" t="n">
        <v>8983</v>
      </c>
    </row>
    <row r="48" ht="18" customHeight="1" s="30">
      <c r="A48" s="36" t="inlineStr">
        <is>
          <t>ACGF</t>
        </is>
      </c>
      <c r="B48" s="37" t="inlineStr">
        <is>
          <t>4T/120k</t>
        </is>
      </c>
      <c r="C48" s="38" t="inlineStr">
        <is>
          <t>-</t>
        </is>
      </c>
      <c r="D48" s="39" t="inlineStr">
        <is>
          <t>A5AC3-4T</t>
        </is>
      </c>
      <c r="E48" s="38" t="inlineStr">
        <is>
          <t>-</t>
        </is>
      </c>
      <c r="F48" s="39" t="inlineStr">
        <is>
          <t>A801X-120k</t>
        </is>
      </c>
      <c r="G48" s="39" t="inlineStr">
        <is>
          <t>5MXC</t>
        </is>
      </c>
      <c r="H48" s="38" t="inlineStr">
        <is>
          <t>-</t>
        </is>
      </c>
      <c r="I48" s="40" t="inlineStr">
        <is>
          <t>T-6 ($79)</t>
        </is>
      </c>
      <c r="J48" s="40" t="inlineStr">
        <is>
          <t>1" filter ($0)</t>
        </is>
      </c>
      <c r="K48" s="41" t="n">
        <v>2548</v>
      </c>
      <c r="L48" s="41" t="n">
        <v>1593.03</v>
      </c>
      <c r="M48" s="41" t="n">
        <v>169.95</v>
      </c>
      <c r="N48" s="41" t="n">
        <v>250</v>
      </c>
      <c r="O48" s="42" t="n">
        <v>4310.98</v>
      </c>
      <c r="P48" s="43" t="n">
        <v>19249</v>
      </c>
      <c r="Q48" s="44" t="n">
        <v>233</v>
      </c>
      <c r="R48" s="45" t="n">
        <v>8983</v>
      </c>
    </row>
    <row r="49" ht="18" customHeight="1" s="30">
      <c r="A49" s="46" t="inlineStr">
        <is>
          <t>ACGF</t>
        </is>
      </c>
      <c r="B49" s="47" t="inlineStr">
        <is>
          <t>5T/120k</t>
        </is>
      </c>
      <c r="C49" s="48" t="inlineStr">
        <is>
          <t>-</t>
        </is>
      </c>
      <c r="D49" s="49" t="inlineStr">
        <is>
          <t>A5AC3-5T</t>
        </is>
      </c>
      <c r="E49" s="48" t="inlineStr">
        <is>
          <t>-</t>
        </is>
      </c>
      <c r="F49" s="49" t="inlineStr">
        <is>
          <t>A801X-120k</t>
        </is>
      </c>
      <c r="G49" s="49" t="inlineStr">
        <is>
          <t>5MXC</t>
        </is>
      </c>
      <c r="H49" s="48" t="inlineStr">
        <is>
          <t>-</t>
        </is>
      </c>
      <c r="I49" s="50" t="inlineStr">
        <is>
          <t>T-6 ($79)</t>
        </is>
      </c>
      <c r="J49" s="50" t="inlineStr">
        <is>
          <t>1" filter ($0)</t>
        </is>
      </c>
      <c r="K49" s="51" t="n">
        <v>2674</v>
      </c>
      <c r="L49" s="51" t="n">
        <v>1593.03</v>
      </c>
      <c r="M49" s="51" t="n">
        <v>169.95</v>
      </c>
      <c r="N49" s="51" t="n">
        <v>250</v>
      </c>
      <c r="O49" s="52" t="n">
        <v>4436.98</v>
      </c>
      <c r="P49" s="43" t="n">
        <v>19749</v>
      </c>
      <c r="Q49" s="44" t="n">
        <v>239</v>
      </c>
      <c r="R49" s="45" t="n">
        <v>9216</v>
      </c>
    </row>
  </sheetData>
  <mergeCells count="8">
    <mergeCell ref="A4:R4"/>
    <mergeCell ref="A43:R43"/>
    <mergeCell ref="A1:P1"/>
    <mergeCell ref="A11:R11"/>
    <mergeCell ref="A19:R19"/>
    <mergeCell ref="A27:R27"/>
    <mergeCell ref="A35:R35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9" min="1" max="1"/>
    <col width="24" customWidth="1" style="29" min="2" max="2"/>
    <col width="14" customWidth="1" style="29" min="3" max="3"/>
    <col width="10" customWidth="1" style="29" min="4" max="4"/>
  </cols>
  <sheetData>
    <row r="1" ht="15" customHeight="1" s="30">
      <c r="A1" s="53" t="inlineStr">
        <is>
          <t>CM Heating Price Reference — Acct #22660 — 5/21/2026 — Rep: Waring, Doug</t>
        </is>
      </c>
    </row>
    <row r="2" ht="15" customHeight="1" s="30">
      <c r="A2" s="32" t="inlineStr">
        <is>
          <t>Description</t>
        </is>
      </c>
      <c r="B2" s="32" t="inlineStr">
        <is>
          <t>Model Number</t>
        </is>
      </c>
      <c r="C2" s="32" t="inlineStr">
        <is>
          <t>Our Cost</t>
        </is>
      </c>
      <c r="D2" s="32" t="inlineStr">
        <is>
          <t>Stock</t>
        </is>
      </c>
    </row>
    <row r="3" ht="15" customHeight="1" s="30">
      <c r="A3" s="54" t="inlineStr">
        <is>
          <t>AMERISTAR HEAT PUMPS</t>
        </is>
      </c>
      <c r="B3" s="34" t="n"/>
      <c r="C3" s="34" t="n"/>
      <c r="D3" s="35" t="n"/>
    </row>
    <row r="4" ht="15.75" customHeight="1" s="30">
      <c r="A4" s="38" t="inlineStr">
        <is>
          <t>A5HP4 2T — 14 SEER Single Stage HP</t>
        </is>
      </c>
      <c r="B4" s="39" t="inlineStr">
        <is>
          <t>A5HP4024A1000A</t>
        </is>
      </c>
      <c r="C4" s="55" t="inlineStr">
        <is>
          <t>$1,374</t>
        </is>
      </c>
      <c r="D4" s="56" t="inlineStr">
        <is>
          <t>A</t>
        </is>
      </c>
    </row>
    <row r="5" ht="15.75" customHeight="1" s="30">
      <c r="A5" s="48" t="inlineStr">
        <is>
          <t>A5HP4 2.5T — 14 SEER Single Stage HP</t>
        </is>
      </c>
      <c r="B5" s="49" t="inlineStr">
        <is>
          <t>A5HP4030A1000A</t>
        </is>
      </c>
      <c r="C5" s="57" t="inlineStr">
        <is>
          <t>$1,428</t>
        </is>
      </c>
      <c r="D5" s="58" t="inlineStr">
        <is>
          <t>A</t>
        </is>
      </c>
    </row>
    <row r="6" ht="15.75" customHeight="1" s="30">
      <c r="A6" s="38" t="inlineStr">
        <is>
          <t>A5HP4 3T — 14 SEER Single Stage HP</t>
        </is>
      </c>
      <c r="B6" s="39" t="inlineStr">
        <is>
          <t>A5HP4036A1000A</t>
        </is>
      </c>
      <c r="C6" s="55" t="inlineStr">
        <is>
          <t>$1,468</t>
        </is>
      </c>
      <c r="D6" s="56" t="inlineStr">
        <is>
          <t>A</t>
        </is>
      </c>
    </row>
    <row r="7" ht="15.75" customHeight="1" s="30">
      <c r="A7" s="48" t="inlineStr">
        <is>
          <t>A5HP4 3.5T — 14 SEER Single Stage HP</t>
        </is>
      </c>
      <c r="B7" s="49" t="inlineStr">
        <is>
          <t>A5HP4042A1000A</t>
        </is>
      </c>
      <c r="C7" s="57" t="inlineStr">
        <is>
          <t>$1,520</t>
        </is>
      </c>
      <c r="D7" s="59" t="inlineStr">
        <is>
          <t>NB</t>
        </is>
      </c>
    </row>
    <row r="8" ht="15.75" customHeight="1" s="30">
      <c r="A8" s="38" t="inlineStr">
        <is>
          <t>A5HP4 4T — 14 SEER Single Stage HP</t>
        </is>
      </c>
      <c r="B8" s="39" t="inlineStr">
        <is>
          <t>A5HP4048A1000A</t>
        </is>
      </c>
      <c r="C8" s="55" t="inlineStr">
        <is>
          <t>$1,570</t>
        </is>
      </c>
      <c r="D8" s="56" t="inlineStr">
        <is>
          <t>A</t>
        </is>
      </c>
    </row>
    <row r="9" ht="15.75" customHeight="1" s="30">
      <c r="A9" s="48" t="inlineStr">
        <is>
          <t>A5HP4 5T — 14 SEER Single Stage HP</t>
        </is>
      </c>
      <c r="B9" s="49" t="inlineStr">
        <is>
          <t>A5HP4060A1000A</t>
        </is>
      </c>
      <c r="C9" s="57" t="inlineStr">
        <is>
          <t>$1,669</t>
        </is>
      </c>
      <c r="D9" s="59" t="inlineStr">
        <is>
          <t>NB</t>
        </is>
      </c>
    </row>
    <row r="10" ht="15.75" customHeight="1" s="30">
      <c r="A10" s="38" t="inlineStr">
        <is>
          <t>A5HL5 2T — Inverter 15 HP</t>
        </is>
      </c>
      <c r="B10" s="39" t="inlineStr">
        <is>
          <t>A5HL5024A1000A</t>
        </is>
      </c>
      <c r="C10" s="55" t="inlineStr">
        <is>
          <t>$1,953</t>
        </is>
      </c>
      <c r="D10" s="60" t="inlineStr">
        <is>
          <t>NB</t>
        </is>
      </c>
    </row>
    <row r="11" ht="15.75" customHeight="1" s="30">
      <c r="A11" s="48" t="inlineStr">
        <is>
          <t>A5HL5 3T — Inverter 15 HP</t>
        </is>
      </c>
      <c r="B11" s="49" t="inlineStr">
        <is>
          <t>A5HL5036A1000A</t>
        </is>
      </c>
      <c r="C11" s="57" t="inlineStr">
        <is>
          <t>$2,110</t>
        </is>
      </c>
      <c r="D11" s="58" t="inlineStr">
        <is>
          <t>A</t>
        </is>
      </c>
    </row>
    <row r="12" ht="15.75" customHeight="1" s="30">
      <c r="A12" s="38" t="inlineStr">
        <is>
          <t>A5HL5 4T — Inverter 15 HP</t>
        </is>
      </c>
      <c r="B12" s="39" t="inlineStr">
        <is>
          <t>A5HL5048A1000A</t>
        </is>
      </c>
      <c r="C12" s="55" t="inlineStr">
        <is>
          <t>$2,331</t>
        </is>
      </c>
      <c r="D12" s="56" t="inlineStr">
        <is>
          <t>A</t>
        </is>
      </c>
    </row>
    <row r="13" ht="15.75" customHeight="1" s="30">
      <c r="A13" s="48" t="inlineStr">
        <is>
          <t>A5HL5 5T — Inverter 15 HP</t>
        </is>
      </c>
      <c r="B13" s="49" t="inlineStr">
        <is>
          <t>A5HL5060A1000A</t>
        </is>
      </c>
      <c r="C13" s="57" t="inlineStr">
        <is>
          <t>$2,547</t>
        </is>
      </c>
      <c r="D13" s="59" t="inlineStr">
        <is>
          <t>NB</t>
        </is>
      </c>
    </row>
    <row r="15" ht="15" customHeight="1" s="30">
      <c r="A15" s="54" t="inlineStr">
        <is>
          <t>AMERISTAR AIR CONDITIONERS</t>
        </is>
      </c>
      <c r="B15" s="34" t="n"/>
      <c r="C15" s="34" t="n"/>
      <c r="D15" s="35" t="n"/>
    </row>
    <row r="16" ht="15.75" customHeight="1" s="30">
      <c r="A16" s="38" t="inlineStr">
        <is>
          <t>A5AC3 2T — 13 SEER</t>
        </is>
      </c>
      <c r="B16" s="39" t="inlineStr">
        <is>
          <t>A5AC3024A1000A</t>
        </is>
      </c>
      <c r="C16" s="55" t="inlineStr">
        <is>
          <t>$870</t>
        </is>
      </c>
      <c r="D16" s="56" t="inlineStr">
        <is>
          <t>A</t>
        </is>
      </c>
    </row>
    <row r="17" ht="15.75" customHeight="1" s="30">
      <c r="A17" s="48" t="inlineStr">
        <is>
          <t>A5AC3 2.5T — 13 SEER</t>
        </is>
      </c>
      <c r="B17" s="49" t="inlineStr">
        <is>
          <t>A5AC3030A1000A</t>
        </is>
      </c>
      <c r="C17" s="57" t="inlineStr">
        <is>
          <t>$925</t>
        </is>
      </c>
      <c r="D17" s="58" t="inlineStr">
        <is>
          <t>A</t>
        </is>
      </c>
    </row>
    <row r="18" ht="15.75" customHeight="1" s="30">
      <c r="A18" s="38" t="inlineStr">
        <is>
          <t>A5AC3 3T — 13 SEER</t>
        </is>
      </c>
      <c r="B18" s="39" t="inlineStr">
        <is>
          <t>A5AC3036A1000A</t>
        </is>
      </c>
      <c r="C18" s="55" t="inlineStr">
        <is>
          <t>$970</t>
        </is>
      </c>
      <c r="D18" s="56" t="inlineStr">
        <is>
          <t>A</t>
        </is>
      </c>
    </row>
    <row r="19" ht="15.75" customHeight="1" s="30">
      <c r="A19" s="48" t="inlineStr">
        <is>
          <t>A5AC3 3.5T — 13 SEER</t>
        </is>
      </c>
      <c r="B19" s="49" t="inlineStr">
        <is>
          <t>A5AC3042A1000A</t>
        </is>
      </c>
      <c r="C19" s="57" t="inlineStr">
        <is>
          <t>$1,026</t>
        </is>
      </c>
      <c r="D19" s="58" t="inlineStr">
        <is>
          <t>A</t>
        </is>
      </c>
    </row>
    <row r="20" ht="15.75" customHeight="1" s="30">
      <c r="A20" s="38" t="inlineStr">
        <is>
          <t>A5AC3 4T — 13 SEER</t>
        </is>
      </c>
      <c r="B20" s="39" t="inlineStr">
        <is>
          <t>A5AC3048A1000A</t>
        </is>
      </c>
      <c r="C20" s="55" t="inlineStr">
        <is>
          <t>$1,077</t>
        </is>
      </c>
      <c r="D20" s="56" t="inlineStr">
        <is>
          <t>A</t>
        </is>
      </c>
    </row>
    <row r="21" ht="15.75" customHeight="1" s="30">
      <c r="A21" s="48" t="inlineStr">
        <is>
          <t>A5AC3 5T — 13 SEER</t>
        </is>
      </c>
      <c r="B21" s="49" t="inlineStr">
        <is>
          <t>A5AC3060A1000A</t>
        </is>
      </c>
      <c r="C21" s="57" t="inlineStr">
        <is>
          <t>$1,181</t>
        </is>
      </c>
      <c r="D21" s="59" t="inlineStr">
        <is>
          <t>NB</t>
        </is>
      </c>
    </row>
    <row r="22" ht="15.75" customHeight="1" s="30">
      <c r="A22" s="38" t="inlineStr">
        <is>
          <t>A5AC4 2T — 14 SEER</t>
        </is>
      </c>
      <c r="B22" s="39" t="inlineStr">
        <is>
          <t>A5AC4024A1000A</t>
        </is>
      </c>
      <c r="C22" s="55" t="inlineStr">
        <is>
          <t>$1,664</t>
        </is>
      </c>
      <c r="D22" s="60" t="inlineStr">
        <is>
          <t>NB</t>
        </is>
      </c>
    </row>
    <row r="23" ht="15.75" customHeight="1" s="30">
      <c r="A23" s="48" t="inlineStr">
        <is>
          <t>A5AC4 3T — 14 SEER</t>
        </is>
      </c>
      <c r="B23" s="49" t="inlineStr">
        <is>
          <t>A5AC4036A1000A</t>
        </is>
      </c>
      <c r="C23" s="57" t="inlineStr">
        <is>
          <t>$1,814</t>
        </is>
      </c>
      <c r="D23" s="59" t="inlineStr">
        <is>
          <t>NB</t>
        </is>
      </c>
    </row>
    <row r="24" ht="15.75" customHeight="1" s="30">
      <c r="A24" s="38" t="inlineStr">
        <is>
          <t>A5AC4 4T — 14 SEER</t>
        </is>
      </c>
      <c r="B24" s="39" t="inlineStr">
        <is>
          <t>A5AC4048A1000A</t>
        </is>
      </c>
      <c r="C24" s="55" t="inlineStr">
        <is>
          <t>$1,971</t>
        </is>
      </c>
      <c r="D24" s="60" t="inlineStr">
        <is>
          <t>NB</t>
        </is>
      </c>
    </row>
    <row r="25" ht="15.75" customHeight="1" s="30">
      <c r="A25" s="48" t="inlineStr">
        <is>
          <t>A5AC5 2T — 15 SEER DOE</t>
        </is>
      </c>
      <c r="B25" s="49" t="inlineStr">
        <is>
          <t>A5AC5024A1000A</t>
        </is>
      </c>
      <c r="C25" s="57" t="inlineStr">
        <is>
          <t>$1,910</t>
        </is>
      </c>
      <c r="D25" s="59" t="inlineStr">
        <is>
          <t>—</t>
        </is>
      </c>
    </row>
    <row r="26" ht="15.75" customHeight="1" s="30">
      <c r="A26" s="38" t="inlineStr">
        <is>
          <t>A5AC5 3T — 15 SEER DOE</t>
        </is>
      </c>
      <c r="B26" s="39" t="inlineStr">
        <is>
          <t>A5AC5036A1000A</t>
        </is>
      </c>
      <c r="C26" s="55" t="inlineStr">
        <is>
          <t>$2,182</t>
        </is>
      </c>
      <c r="D26" s="60" t="inlineStr">
        <is>
          <t>—</t>
        </is>
      </c>
    </row>
    <row r="27" ht="15.75" customHeight="1" s="30">
      <c r="A27" s="48" t="inlineStr">
        <is>
          <t>A5AC5 4T — 15 SEER DOE</t>
        </is>
      </c>
      <c r="B27" s="49" t="inlineStr">
        <is>
          <t>A5AC5048A1000A</t>
        </is>
      </c>
      <c r="C27" s="57" t="inlineStr">
        <is>
          <t>$2,478</t>
        </is>
      </c>
      <c r="D27" s="59" t="inlineStr">
        <is>
          <t>—</t>
        </is>
      </c>
    </row>
    <row r="29" ht="15" customHeight="1" s="30">
      <c r="A29" s="54" t="inlineStr">
        <is>
          <t>AMERISTAR AIR HANDLERS</t>
        </is>
      </c>
      <c r="B29" s="34" t="n"/>
      <c r="C29" s="34" t="n"/>
      <c r="D29" s="35" t="n"/>
    </row>
    <row r="30" ht="15.75" customHeight="1" s="30">
      <c r="A30" s="38" t="inlineStr">
        <is>
          <t>A5AHC 2T — 14 SEER AH</t>
        </is>
      </c>
      <c r="B30" s="39" t="inlineStr">
        <is>
          <t>A5AHC002A1B30A</t>
        </is>
      </c>
      <c r="C30" s="55" t="inlineStr">
        <is>
          <t>$727</t>
        </is>
      </c>
      <c r="D30" s="60" t="inlineStr">
        <is>
          <t>NB</t>
        </is>
      </c>
    </row>
    <row r="31" ht="15.75" customHeight="1" s="30">
      <c r="A31" s="48" t="inlineStr">
        <is>
          <t>A5AHC 2.5T — 14 SEER AH</t>
        </is>
      </c>
      <c r="B31" s="49" t="inlineStr">
        <is>
          <t>A5AHC003A1B30A</t>
        </is>
      </c>
      <c r="C31" s="57" t="inlineStr">
        <is>
          <t>$826</t>
        </is>
      </c>
      <c r="D31" s="58" t="inlineStr">
        <is>
          <t>A</t>
        </is>
      </c>
    </row>
    <row r="32" ht="15.75" customHeight="1" s="30">
      <c r="A32" s="38" t="inlineStr">
        <is>
          <t>A5AHC 3.5T — 14 SEER AH</t>
        </is>
      </c>
      <c r="B32" s="39" t="inlineStr">
        <is>
          <t>A5AHC004A1D30A</t>
        </is>
      </c>
      <c r="C32" s="55" t="inlineStr">
        <is>
          <t>$865</t>
        </is>
      </c>
      <c r="D32" s="60" t="inlineStr">
        <is>
          <t>NB</t>
        </is>
      </c>
    </row>
    <row r="33" ht="15.75" customHeight="1" s="30">
      <c r="A33" s="48" t="inlineStr">
        <is>
          <t>A5AHC 4T — 14 SEER AH</t>
        </is>
      </c>
      <c r="B33" s="49" t="inlineStr">
        <is>
          <t>A5AHC005A1D30A</t>
        </is>
      </c>
      <c r="C33" s="57" t="inlineStr">
        <is>
          <t>$912</t>
        </is>
      </c>
      <c r="D33" s="59" t="inlineStr">
        <is>
          <t>NB</t>
        </is>
      </c>
    </row>
    <row r="34" ht="15.75" customHeight="1" s="30">
      <c r="A34" s="38" t="inlineStr">
        <is>
          <t>A5AHC 5T — 14 SEER AH</t>
        </is>
      </c>
      <c r="B34" s="39" t="inlineStr">
        <is>
          <t>A5AHC007A1D30A</t>
        </is>
      </c>
      <c r="C34" s="55" t="inlineStr">
        <is>
          <t>$1,111</t>
        </is>
      </c>
      <c r="D34" s="60" t="inlineStr">
        <is>
          <t>NB</t>
        </is>
      </c>
    </row>
    <row r="35" ht="15.75" customHeight="1" s="30">
      <c r="A35" s="48" t="inlineStr">
        <is>
          <t>A5AHV 2T — VS AH</t>
        </is>
      </c>
      <c r="B35" s="49" t="inlineStr">
        <is>
          <t>A5AHV002A1B30A</t>
        </is>
      </c>
      <c r="C35" s="57" t="inlineStr">
        <is>
          <t>$927</t>
        </is>
      </c>
      <c r="D35" s="59" t="inlineStr">
        <is>
          <t>NB</t>
        </is>
      </c>
    </row>
    <row r="36" ht="15.75" customHeight="1" s="30">
      <c r="A36" s="38" t="inlineStr">
        <is>
          <t>A5AHV 2.5T — VS AH</t>
        </is>
      </c>
      <c r="B36" s="39" t="inlineStr">
        <is>
          <t>A5AHV003A1B30A</t>
        </is>
      </c>
      <c r="C36" s="55" t="inlineStr">
        <is>
          <t>$970</t>
        </is>
      </c>
      <c r="D36" s="56" t="inlineStr">
        <is>
          <t>A</t>
        </is>
      </c>
    </row>
    <row r="37" ht="15.75" customHeight="1" s="30">
      <c r="A37" s="48" t="inlineStr">
        <is>
          <t>A5AHV 3.5T — VS AH</t>
        </is>
      </c>
      <c r="B37" s="49" t="inlineStr">
        <is>
          <t>A5AHV004A1D30A</t>
        </is>
      </c>
      <c r="C37" s="57" t="inlineStr">
        <is>
          <t>$1,040</t>
        </is>
      </c>
      <c r="D37" s="59" t="inlineStr">
        <is>
          <t>NB</t>
        </is>
      </c>
    </row>
    <row r="38" ht="15.75" customHeight="1" s="30">
      <c r="A38" s="38" t="inlineStr">
        <is>
          <t>A5AHV 4T — VS AH</t>
        </is>
      </c>
      <c r="B38" s="39" t="inlineStr">
        <is>
          <t>A5AHV005A1D30A</t>
        </is>
      </c>
      <c r="C38" s="55" t="inlineStr">
        <is>
          <t>$1,098</t>
        </is>
      </c>
      <c r="D38" s="60" t="inlineStr">
        <is>
          <t>NB</t>
        </is>
      </c>
    </row>
    <row r="39" ht="15.75" customHeight="1" s="30">
      <c r="A39" s="48" t="inlineStr">
        <is>
          <t>A5AHV 5T — VS AH</t>
        </is>
      </c>
      <c r="B39" s="49" t="inlineStr">
        <is>
          <t>A5AHV007A1D30A</t>
        </is>
      </c>
      <c r="C39" s="57" t="inlineStr">
        <is>
          <t>$1,205</t>
        </is>
      </c>
      <c r="D39" s="59" t="inlineStr">
        <is>
          <t>NB</t>
        </is>
      </c>
    </row>
    <row r="41" ht="15" customHeight="1" s="30">
      <c r="A41" s="54" t="inlineStr">
        <is>
          <t>AMERISTAR HEAT STRIPS (for AH)</t>
        </is>
      </c>
      <c r="B41" s="34" t="n"/>
      <c r="C41" s="34" t="n"/>
      <c r="D41" s="35" t="n"/>
    </row>
    <row r="42" ht="15.75" customHeight="1" s="30">
      <c r="A42" s="38" t="inlineStr">
        <is>
          <t>BAYHTR1505 — 5KW</t>
        </is>
      </c>
      <c r="B42" s="39" t="inlineStr">
        <is>
          <t>BAYHTR1505BRKC</t>
        </is>
      </c>
      <c r="C42" s="55" t="inlineStr">
        <is>
          <t>$171</t>
        </is>
      </c>
      <c r="D42" s="56" t="inlineStr">
        <is>
          <t>A</t>
        </is>
      </c>
    </row>
    <row r="43" ht="15.75" customHeight="1" s="30">
      <c r="A43" s="48" t="inlineStr">
        <is>
          <t>BAYHTR1508 — 8KW</t>
        </is>
      </c>
      <c r="B43" s="49" t="inlineStr">
        <is>
          <t>BAYHTR1508BRKC</t>
        </is>
      </c>
      <c r="C43" s="57" t="inlineStr">
        <is>
          <t>$188</t>
        </is>
      </c>
      <c r="D43" s="58" t="inlineStr">
        <is>
          <t>A</t>
        </is>
      </c>
    </row>
    <row r="44" ht="15.75" customHeight="1" s="30">
      <c r="A44" s="38" t="inlineStr">
        <is>
          <t>BAYHTR1510 — 10KW ✓ standard</t>
        </is>
      </c>
      <c r="B44" s="39" t="inlineStr">
        <is>
          <t>BAYHTR1510BRKC</t>
        </is>
      </c>
      <c r="C44" s="55" t="inlineStr">
        <is>
          <t>$198</t>
        </is>
      </c>
      <c r="D44" s="56" t="inlineStr">
        <is>
          <t>A</t>
        </is>
      </c>
    </row>
    <row r="45" ht="15.75" customHeight="1" s="30">
      <c r="A45" s="48" t="inlineStr">
        <is>
          <t>BAYHTR1517 — 15KW</t>
        </is>
      </c>
      <c r="B45" s="49" t="inlineStr">
        <is>
          <t>BAYHTR1517BRKA</t>
        </is>
      </c>
      <c r="C45" s="57" t="inlineStr">
        <is>
          <t>$277</t>
        </is>
      </c>
      <c r="D45" s="58" t="inlineStr">
        <is>
          <t>A</t>
        </is>
      </c>
    </row>
    <row r="46" ht="15.75" customHeight="1" s="30">
      <c r="A46" s="38" t="inlineStr">
        <is>
          <t>BAYHTR1523 — 20KW</t>
        </is>
      </c>
      <c r="B46" s="39" t="inlineStr">
        <is>
          <t>BAYHTR1523BRKA</t>
        </is>
      </c>
      <c r="C46" s="55" t="inlineStr">
        <is>
          <t>$335</t>
        </is>
      </c>
      <c r="D46" s="56" t="inlineStr">
        <is>
          <t>A</t>
        </is>
      </c>
    </row>
    <row r="48" ht="15" customHeight="1" s="30">
      <c r="A48" s="54" t="inlineStr">
        <is>
          <t>AMERISTAR 80% FURNACES (A801X)</t>
        </is>
      </c>
      <c r="B48" s="34" t="n"/>
      <c r="C48" s="34" t="n"/>
      <c r="D48" s="35" t="n"/>
    </row>
    <row r="49" ht="15.75" customHeight="1" s="30">
      <c r="A49" s="38" t="inlineStr">
        <is>
          <t>A801X 40k — 80% Single Stage</t>
        </is>
      </c>
      <c r="B49" s="39" t="inlineStr">
        <is>
          <t>A801X040AM3SDB</t>
        </is>
      </c>
      <c r="C49" s="55" t="inlineStr">
        <is>
          <t>$753</t>
        </is>
      </c>
      <c r="D49" s="56" t="inlineStr">
        <is>
          <t>A</t>
        </is>
      </c>
    </row>
    <row r="50" ht="15.75" customHeight="1" s="30">
      <c r="A50" s="48" t="inlineStr">
        <is>
          <t>A801X 60k — 80% Single Stage</t>
        </is>
      </c>
      <c r="B50" s="49" t="inlineStr">
        <is>
          <t>A801X060AM3SDB</t>
        </is>
      </c>
      <c r="C50" s="57" t="inlineStr">
        <is>
          <t>$949</t>
        </is>
      </c>
      <c r="D50" s="58" t="inlineStr">
        <is>
          <t>A</t>
        </is>
      </c>
    </row>
    <row r="51" ht="15.75" customHeight="1" s="30">
      <c r="A51" s="38" t="inlineStr">
        <is>
          <t>A801X 80k — 80% Single Stage</t>
        </is>
      </c>
      <c r="B51" s="39" t="inlineStr">
        <is>
          <t>A801X080BM4SDB</t>
        </is>
      </c>
      <c r="C51" s="55" t="inlineStr">
        <is>
          <t>$813</t>
        </is>
      </c>
      <c r="D51" s="56" t="inlineStr">
        <is>
          <t>A</t>
        </is>
      </c>
    </row>
    <row r="52" ht="15.75" customHeight="1" s="30">
      <c r="A52" s="48" t="inlineStr">
        <is>
          <t>A801X 100k — 80% Single Stage</t>
        </is>
      </c>
      <c r="B52" s="49" t="inlineStr">
        <is>
          <t>A801X100CM5SDB</t>
        </is>
      </c>
      <c r="C52" s="57" t="inlineStr">
        <is>
          <t>$852</t>
        </is>
      </c>
      <c r="D52" s="58" t="inlineStr">
        <is>
          <t>A</t>
        </is>
      </c>
    </row>
    <row r="53" ht="15.75" customHeight="1" s="30">
      <c r="A53" s="38" t="inlineStr">
        <is>
          <t>A801X 120k — 80% Single Stage</t>
        </is>
      </c>
      <c r="B53" s="39" t="inlineStr">
        <is>
          <t>A801X120DM5SDB</t>
        </is>
      </c>
      <c r="C53" s="55" t="inlineStr">
        <is>
          <t>$871</t>
        </is>
      </c>
      <c r="D53" s="60" t="inlineStr">
        <is>
          <t>NB</t>
        </is>
      </c>
    </row>
    <row r="55" ht="15" customHeight="1" s="30">
      <c r="A55" s="54" t="inlineStr">
        <is>
          <t>AMERISTAR 95% FURNACES</t>
        </is>
      </c>
      <c r="B55" s="34" t="n"/>
      <c r="C55" s="34" t="n"/>
      <c r="D55" s="35" t="n"/>
    </row>
    <row r="56" ht="15.75" customHeight="1" s="30">
      <c r="A56" s="38" t="inlineStr">
        <is>
          <t>A951X 40k — 95% Single Stage</t>
        </is>
      </c>
      <c r="B56" s="39" t="inlineStr">
        <is>
          <t>A951X040BU3SAC</t>
        </is>
      </c>
      <c r="C56" s="55" t="inlineStr">
        <is>
          <t>$868</t>
        </is>
      </c>
      <c r="D56" s="56" t="inlineStr">
        <is>
          <t>A</t>
        </is>
      </c>
    </row>
    <row r="57" ht="15.75" customHeight="1" s="30">
      <c r="A57" s="48" t="inlineStr">
        <is>
          <t>A951X 60k — 95% Single Stage</t>
        </is>
      </c>
      <c r="B57" s="49" t="inlineStr">
        <is>
          <t>A951X060BU4SAC</t>
        </is>
      </c>
      <c r="C57" s="57" t="inlineStr">
        <is>
          <t>$903</t>
        </is>
      </c>
      <c r="D57" s="58" t="inlineStr">
        <is>
          <t>A</t>
        </is>
      </c>
    </row>
    <row r="58" ht="15.75" customHeight="1" s="30">
      <c r="A58" s="38" t="inlineStr">
        <is>
          <t>A951X 80k — 95% Single Stage</t>
        </is>
      </c>
      <c r="B58" s="39" t="inlineStr">
        <is>
          <t>A951X080BU4SAC</t>
        </is>
      </c>
      <c r="C58" s="55" t="inlineStr">
        <is>
          <t>$931</t>
        </is>
      </c>
      <c r="D58" s="56" t="inlineStr">
        <is>
          <t>A</t>
        </is>
      </c>
    </row>
    <row r="59" ht="15.75" customHeight="1" s="30">
      <c r="A59" s="48" t="inlineStr">
        <is>
          <t>A951X 100k — 95% Single Stage</t>
        </is>
      </c>
      <c r="B59" s="49" t="inlineStr">
        <is>
          <t>A951X100CU5SAC</t>
        </is>
      </c>
      <c r="C59" s="57" t="inlineStr">
        <is>
          <t>$973</t>
        </is>
      </c>
      <c r="D59" s="58" t="inlineStr">
        <is>
          <t>A</t>
        </is>
      </c>
    </row>
    <row r="60" ht="15.75" customHeight="1" s="30">
      <c r="A60" s="38" t="inlineStr">
        <is>
          <t>A951X 120k — 95% Single Stage</t>
        </is>
      </c>
      <c r="B60" s="39" t="inlineStr">
        <is>
          <t>A951X120DU5SAC</t>
        </is>
      </c>
      <c r="C60" s="55" t="inlineStr">
        <is>
          <t>$1,025</t>
        </is>
      </c>
      <c r="D60" s="60" t="inlineStr">
        <is>
          <t>NB</t>
        </is>
      </c>
    </row>
    <row r="61" ht="15.75" customHeight="1" s="30">
      <c r="A61" s="48" t="inlineStr">
        <is>
          <t>A952V 40k — 96% Two Stage VS</t>
        </is>
      </c>
      <c r="B61" s="49" t="inlineStr">
        <is>
          <t>A952V040BU3SBA</t>
        </is>
      </c>
      <c r="C61" s="57" t="inlineStr">
        <is>
          <t>$1,217</t>
        </is>
      </c>
      <c r="D61" s="59" t="inlineStr">
        <is>
          <t>NB</t>
        </is>
      </c>
    </row>
    <row r="62" ht="15.75" customHeight="1" s="30">
      <c r="A62" s="38" t="inlineStr">
        <is>
          <t>A952V 60k — 96% Two Stage VS</t>
        </is>
      </c>
      <c r="B62" s="39" t="inlineStr">
        <is>
          <t>A952V060BU4SBA</t>
        </is>
      </c>
      <c r="C62" s="55" t="inlineStr">
        <is>
          <t>$1,374</t>
        </is>
      </c>
      <c r="D62" s="56" t="inlineStr">
        <is>
          <t>A</t>
        </is>
      </c>
    </row>
    <row r="63" ht="15.75" customHeight="1" s="30">
      <c r="A63" s="48" t="inlineStr">
        <is>
          <t>A952V 80k — 96% Two Stage VS</t>
        </is>
      </c>
      <c r="B63" s="49" t="inlineStr">
        <is>
          <t>A952V080BU4SBA</t>
        </is>
      </c>
      <c r="C63" s="57" t="inlineStr">
        <is>
          <t>$1,490</t>
        </is>
      </c>
      <c r="D63" s="58" t="inlineStr">
        <is>
          <t>A</t>
        </is>
      </c>
    </row>
    <row r="64" ht="15.75" customHeight="1" s="30">
      <c r="A64" s="38" t="inlineStr">
        <is>
          <t>A952V 100k — 96% Two Stage VS</t>
        </is>
      </c>
      <c r="B64" s="39" t="inlineStr">
        <is>
          <t>A952V100CU5SBA</t>
        </is>
      </c>
      <c r="C64" s="55" t="inlineStr">
        <is>
          <t>$1,813</t>
        </is>
      </c>
      <c r="D64" s="60" t="inlineStr">
        <is>
          <t>NB</t>
        </is>
      </c>
    </row>
    <row r="65" ht="15.75" customHeight="1" s="30">
      <c r="A65" s="48" t="inlineStr">
        <is>
          <t>A952V 120k — 96% Two Stage VS</t>
        </is>
      </c>
      <c r="B65" s="49" t="inlineStr">
        <is>
          <t>A952V120DU5SBA</t>
        </is>
      </c>
      <c r="C65" s="57" t="inlineStr">
        <is>
          <t>$1,906</t>
        </is>
      </c>
      <c r="D65" s="59" t="inlineStr">
        <is>
          <t>NB</t>
        </is>
      </c>
    </row>
    <row r="67" ht="15" customHeight="1" s="30">
      <c r="A67" s="54" t="inlineStr">
        <is>
          <t>AMERISTAR COILS (5MXC PISTON — VALUE)</t>
        </is>
      </c>
      <c r="B67" s="34" t="n"/>
      <c r="C67" s="34" t="n"/>
      <c r="D67" s="35" t="n"/>
    </row>
    <row r="68" ht="15.75" customHeight="1" s="30">
      <c r="A68" s="38" t="inlineStr">
        <is>
          <t>5MXC 3T B — Aluminum Piston Coil</t>
        </is>
      </c>
      <c r="B68" s="39" t="inlineStr">
        <is>
          <t>5MXCB004AC6HCA</t>
        </is>
      </c>
      <c r="C68" s="55" t="inlineStr">
        <is>
          <t>$432</t>
        </is>
      </c>
      <c r="D68" s="56" t="inlineStr">
        <is>
          <t>A</t>
        </is>
      </c>
    </row>
    <row r="69" ht="15.75" customHeight="1" s="30">
      <c r="A69" s="48" t="inlineStr">
        <is>
          <t>5MXC 3T B wide — Aluminum Piston Coil</t>
        </is>
      </c>
      <c r="B69" s="49" t="inlineStr">
        <is>
          <t>5MXCB006AC6HCA</t>
        </is>
      </c>
      <c r="C69" s="57" t="inlineStr">
        <is>
          <t>$461</t>
        </is>
      </c>
      <c r="D69" s="58" t="inlineStr">
        <is>
          <t>A</t>
        </is>
      </c>
    </row>
    <row r="70" ht="15.75" customHeight="1" s="30">
      <c r="A70" s="38" t="inlineStr">
        <is>
          <t>5MXC 3.5T C — Aluminum Piston Coil</t>
        </is>
      </c>
      <c r="B70" s="39" t="inlineStr">
        <is>
          <t>5MXCC007AC6HCA</t>
        </is>
      </c>
      <c r="C70" s="55" t="inlineStr">
        <is>
          <t>$476</t>
        </is>
      </c>
      <c r="D70" s="56" t="inlineStr">
        <is>
          <t>A</t>
        </is>
      </c>
    </row>
    <row r="71" ht="15.75" customHeight="1" s="30">
      <c r="A71" s="48" t="inlineStr">
        <is>
          <t>5MXC 4T C — Aluminum Piston Coil</t>
        </is>
      </c>
      <c r="B71" s="49" t="inlineStr">
        <is>
          <t>5MXCC009AC6HCA</t>
        </is>
      </c>
      <c r="C71" s="57" t="inlineStr">
        <is>
          <t>$521</t>
        </is>
      </c>
      <c r="D71" s="58" t="inlineStr">
        <is>
          <t>A</t>
        </is>
      </c>
    </row>
    <row r="72" ht="15.75" customHeight="1" s="30">
      <c r="A72" s="38" t="inlineStr">
        <is>
          <t>5MXC 5T D — Aluminum Piston Coil</t>
        </is>
      </c>
      <c r="B72" s="39" t="inlineStr">
        <is>
          <t>5MXCD010AC6HCA</t>
        </is>
      </c>
      <c r="C72" s="55" t="inlineStr">
        <is>
          <t>$543</t>
        </is>
      </c>
      <c r="D72" s="60" t="inlineStr">
        <is>
          <t>NB</t>
        </is>
      </c>
    </row>
    <row r="74" ht="15" customHeight="1" s="30">
      <c r="A74" s="54" t="inlineStr">
        <is>
          <t>AM STANDARD 5TXC COILS (GOOD/BETTER/BEST)</t>
        </is>
      </c>
      <c r="B74" s="34" t="n"/>
      <c r="C74" s="34" t="n"/>
      <c r="D74" s="35" t="n"/>
    </row>
    <row r="75" ht="15.75" customHeight="1" s="30">
      <c r="A75" s="38" t="inlineStr">
        <is>
          <t>5TXC 2T A — High Efficiency TXV</t>
        </is>
      </c>
      <c r="B75" s="39" t="inlineStr">
        <is>
          <t>5TXCA002AS3HCA</t>
        </is>
      </c>
      <c r="C75" s="55" t="inlineStr">
        <is>
          <t>$494</t>
        </is>
      </c>
      <c r="D75" s="56" t="inlineStr">
        <is>
          <t>A</t>
        </is>
      </c>
    </row>
    <row r="76" ht="15.75" customHeight="1" s="30">
      <c r="A76" s="48" t="inlineStr">
        <is>
          <t>5TXC 3T B — High Efficiency TXV</t>
        </is>
      </c>
      <c r="B76" s="49" t="inlineStr">
        <is>
          <t>5TXCB003AS3HCA</t>
        </is>
      </c>
      <c r="C76" s="57" t="inlineStr">
        <is>
          <t>$499</t>
        </is>
      </c>
      <c r="D76" s="58" t="inlineStr">
        <is>
          <t>A</t>
        </is>
      </c>
    </row>
    <row r="77" ht="15.75" customHeight="1" s="30">
      <c r="A77" s="38" t="inlineStr">
        <is>
          <t>5TXC 3.5T B — High Efficiency TXV</t>
        </is>
      </c>
      <c r="B77" s="39" t="inlineStr">
        <is>
          <t>5TXCB004AS3HCA</t>
        </is>
      </c>
      <c r="C77" s="55" t="inlineStr">
        <is>
          <t>$509</t>
        </is>
      </c>
      <c r="D77" s="56" t="inlineStr">
        <is>
          <t>A</t>
        </is>
      </c>
    </row>
    <row r="78" ht="15.75" customHeight="1" s="30">
      <c r="A78" s="48" t="inlineStr">
        <is>
          <t>5TXC 4T B — High Efficiency TXV</t>
        </is>
      </c>
      <c r="B78" s="49" t="inlineStr">
        <is>
          <t>5TXCB006AS3HCA</t>
        </is>
      </c>
      <c r="C78" s="57" t="inlineStr">
        <is>
          <t>$561</t>
        </is>
      </c>
      <c r="D78" s="58" t="inlineStr">
        <is>
          <t>A</t>
        </is>
      </c>
    </row>
    <row r="79" ht="15.75" customHeight="1" s="30">
      <c r="A79" s="38" t="inlineStr">
        <is>
          <t>5TXC 5T C — High Efficiency TXV</t>
        </is>
      </c>
      <c r="B79" s="39" t="inlineStr">
        <is>
          <t>5TXCC009AS3HCA</t>
        </is>
      </c>
      <c r="C79" s="55" t="inlineStr">
        <is>
          <t>$617</t>
        </is>
      </c>
      <c r="D79" s="56" t="inlineStr">
        <is>
          <t>A</t>
        </is>
      </c>
    </row>
    <row r="81" ht="15" customHeight="1" s="30">
      <c r="A81" s="54" t="inlineStr">
        <is>
          <t>AM STANDARD HEAT PUMPS (representative current prices)</t>
        </is>
      </c>
      <c r="B81" s="34" t="n"/>
      <c r="C81" s="34" t="n"/>
      <c r="D81" s="35" t="n"/>
    </row>
    <row r="82" ht="15.75" customHeight="1" s="30">
      <c r="A82" s="38" t="inlineStr">
        <is>
          <t>5A6H4 2T — Silver 14 Single Stage</t>
        </is>
      </c>
      <c r="B82" s="39" t="inlineStr">
        <is>
          <t>5A6H4024A1000A</t>
        </is>
      </c>
      <c r="C82" s="55" t="inlineStr">
        <is>
          <t>$1,616</t>
        </is>
      </c>
      <c r="D82" s="56" t="inlineStr">
        <is>
          <t>A</t>
        </is>
      </c>
    </row>
    <row r="83" ht="15.75" customHeight="1" s="30">
      <c r="A83" s="48" t="inlineStr">
        <is>
          <t>5A6H4 3T — Silver 14 Single Stage</t>
        </is>
      </c>
      <c r="B83" s="49" t="inlineStr">
        <is>
          <t>5A6H4036A1000A</t>
        </is>
      </c>
      <c r="C83" s="57" t="inlineStr">
        <is>
          <t>$1,726</t>
        </is>
      </c>
      <c r="D83" s="58" t="inlineStr">
        <is>
          <t>A</t>
        </is>
      </c>
    </row>
    <row r="84" ht="15.75" customHeight="1" s="30">
      <c r="A84" s="38" t="inlineStr">
        <is>
          <t>5A6H4 4T — Silver 14 Single Stage</t>
        </is>
      </c>
      <c r="B84" s="39" t="inlineStr">
        <is>
          <t>5A6H4048A1000A</t>
        </is>
      </c>
      <c r="C84" s="55" t="inlineStr">
        <is>
          <t>$1,847</t>
        </is>
      </c>
      <c r="D84" s="56" t="inlineStr">
        <is>
          <t>A</t>
        </is>
      </c>
    </row>
    <row r="85" ht="15.75" customHeight="1" s="30">
      <c r="A85" s="48" t="inlineStr">
        <is>
          <t>5A6H4 5T — Silver 14 Single Stage</t>
        </is>
      </c>
      <c r="B85" s="49" t="inlineStr">
        <is>
          <t>5A6H4060A1000A</t>
        </is>
      </c>
      <c r="C85" s="57" t="inlineStr">
        <is>
          <t>$1,963</t>
        </is>
      </c>
      <c r="D85" s="59" t="inlineStr">
        <is>
          <t>NB</t>
        </is>
      </c>
    </row>
    <row r="86" ht="15.75" customHeight="1" s="30">
      <c r="A86" s="38" t="inlineStr">
        <is>
          <t>5A6H5 2T — Silver 15 Single Stage</t>
        </is>
      </c>
      <c r="B86" s="39" t="inlineStr">
        <is>
          <t>5A6H5024A1000A</t>
        </is>
      </c>
      <c r="C86" s="55" t="inlineStr">
        <is>
          <t>$1,748</t>
        </is>
      </c>
      <c r="D86" s="56" t="inlineStr">
        <is>
          <t>A</t>
        </is>
      </c>
    </row>
    <row r="87" ht="15.75" customHeight="1" s="30">
      <c r="A87" s="48" t="inlineStr">
        <is>
          <t>5A6H5 3T — Silver 15 Single Stage</t>
        </is>
      </c>
      <c r="B87" s="49" t="inlineStr">
        <is>
          <t>5A6H5036A1000A</t>
        </is>
      </c>
      <c r="C87" s="57" t="inlineStr">
        <is>
          <t>$2,010</t>
        </is>
      </c>
      <c r="D87" s="58" t="inlineStr">
        <is>
          <t>A</t>
        </is>
      </c>
    </row>
    <row r="88" ht="15.75" customHeight="1" s="30">
      <c r="A88" s="38" t="inlineStr">
        <is>
          <t>5A6H5 4T — Silver 15 Single Stage</t>
        </is>
      </c>
      <c r="B88" s="39" t="inlineStr">
        <is>
          <t>5A6H5048A1000A</t>
        </is>
      </c>
      <c r="C88" s="55" t="inlineStr">
        <is>
          <t>$2,439</t>
        </is>
      </c>
      <c r="D88" s="56" t="inlineStr">
        <is>
          <t>A</t>
        </is>
      </c>
    </row>
    <row r="89" ht="15.75" customHeight="1" s="30">
      <c r="A89" s="48" t="inlineStr">
        <is>
          <t>5HPL5 2T — Silver 16 Side Discharge</t>
        </is>
      </c>
      <c r="B89" s="49" t="inlineStr">
        <is>
          <t>AMS5HPL5024A1000A</t>
        </is>
      </c>
      <c r="C89" s="57" t="inlineStr">
        <is>
          <t>$1,980</t>
        </is>
      </c>
      <c r="D89" s="58" t="inlineStr">
        <is>
          <t>A</t>
        </is>
      </c>
    </row>
    <row r="90" ht="15.75" customHeight="1" s="30">
      <c r="A90" s="38" t="inlineStr">
        <is>
          <t>5HPL5 3T — Silver 16 Side Discharge</t>
        </is>
      </c>
      <c r="B90" s="39" t="inlineStr">
        <is>
          <t>AMS5HPL5036A1000A</t>
        </is>
      </c>
      <c r="C90" s="55" t="inlineStr">
        <is>
          <t>$2,075</t>
        </is>
      </c>
      <c r="D90" s="56" t="inlineStr">
        <is>
          <t>A</t>
        </is>
      </c>
    </row>
    <row r="91" ht="15.75" customHeight="1" s="30">
      <c r="A91" s="48" t="inlineStr">
        <is>
          <t>5HPL5 4T — Silver 16 Side Discharge</t>
        </is>
      </c>
      <c r="B91" s="49" t="inlineStr">
        <is>
          <t>AMS5HPL5048A1000A</t>
        </is>
      </c>
      <c r="C91" s="57" t="inlineStr">
        <is>
          <t>$2,538</t>
        </is>
      </c>
      <c r="D91" s="58" t="inlineStr">
        <is>
          <t>A</t>
        </is>
      </c>
    </row>
    <row r="92" ht="15.75" customHeight="1" s="30">
      <c r="A92" s="38" t="inlineStr">
        <is>
          <t>5A6V8 2T — Platinum 18 AccuComfort VS</t>
        </is>
      </c>
      <c r="B92" s="39" t="inlineStr">
        <is>
          <t>5A6V8X24A1000A</t>
        </is>
      </c>
      <c r="C92" s="55" t="inlineStr">
        <is>
          <t>$3,669</t>
        </is>
      </c>
      <c r="D92" s="56" t="inlineStr">
        <is>
          <t>A</t>
        </is>
      </c>
    </row>
    <row r="93" ht="15.75" customHeight="1" s="30">
      <c r="A93" s="48" t="inlineStr">
        <is>
          <t>5A6V8 3T — Platinum 18 AccuComfort VS</t>
        </is>
      </c>
      <c r="B93" s="49" t="inlineStr">
        <is>
          <t>5A6V8X36A1000A</t>
        </is>
      </c>
      <c r="C93" s="57" t="inlineStr">
        <is>
          <t>$4,046</t>
        </is>
      </c>
      <c r="D93" s="58" t="inlineStr">
        <is>
          <t>A</t>
        </is>
      </c>
    </row>
    <row r="94" ht="15.75" customHeight="1" s="30">
      <c r="A94" s="38" t="inlineStr">
        <is>
          <t>5A6V8 4T — Platinum 18 AccuComfort VS</t>
        </is>
      </c>
      <c r="B94" s="39" t="inlineStr">
        <is>
          <t>5A6V8X48A1000A</t>
        </is>
      </c>
      <c r="C94" s="55" t="inlineStr">
        <is>
          <t>$4,380</t>
        </is>
      </c>
      <c r="D94" s="56" t="inlineStr">
        <is>
          <t>A</t>
        </is>
      </c>
    </row>
    <row r="95" ht="15.75" customHeight="1" s="30">
      <c r="A95" s="48" t="inlineStr">
        <is>
          <t>5HCL5 2-3T — Quest HP</t>
        </is>
      </c>
      <c r="B95" s="49" t="inlineStr">
        <is>
          <t>5HCL5036B1000A</t>
        </is>
      </c>
      <c r="C95" s="57" t="inlineStr">
        <is>
          <t>$2,473</t>
        </is>
      </c>
      <c r="D95" s="58" t="inlineStr">
        <is>
          <t>A</t>
        </is>
      </c>
    </row>
    <row r="96" ht="15.75" customHeight="1" s="30">
      <c r="A96" s="38" t="inlineStr">
        <is>
          <t>5HCL5 4-5T — Quest HP</t>
        </is>
      </c>
      <c r="B96" s="39" t="inlineStr">
        <is>
          <t>5HCL5060B1000A</t>
        </is>
      </c>
      <c r="C96" s="55" t="inlineStr">
        <is>
          <t>$3,282</t>
        </is>
      </c>
      <c r="D96" s="56" t="inlineStr">
        <is>
          <t>A</t>
        </is>
      </c>
    </row>
  </sheetData>
  <mergeCells count="10">
    <mergeCell ref="A67:D67"/>
    <mergeCell ref="A74:D74"/>
    <mergeCell ref="A48:D48"/>
    <mergeCell ref="A3:D3"/>
    <mergeCell ref="A55:D55"/>
    <mergeCell ref="A15:D15"/>
    <mergeCell ref="A29:D29"/>
    <mergeCell ref="A81:D81"/>
    <mergeCell ref="A41:D4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30" min="1" max="1"/>
    <col width="40" customWidth="1" style="30" min="2" max="2"/>
    <col width="22" customWidth="1" style="30" min="3" max="3"/>
    <col width="12" customWidth="1" style="30" min="4" max="4"/>
    <col width="12" customWidth="1" style="30" min="5" max="5"/>
    <col width="12" customWidth="1" style="30" min="6" max="6"/>
    <col width="11" customWidth="1" style="30" min="7" max="7"/>
    <col width="22" customWidth="1" style="30" min="8" max="8"/>
  </cols>
  <sheetData>
    <row r="1" ht="20" customHeight="1" s="30">
      <c r="A1" s="61" t="inlineStr">
        <is>
          <t>CM Heating Equip Price Reference — Goodman &amp; Daikin Ductless — Thermal Supply Acct #2300 — 05/24/2026</t>
        </is>
      </c>
    </row>
    <row r="2" ht="30" customHeight="1" s="30">
      <c r="A2" s="62" t="inlineStr">
        <is>
          <t>Category</t>
        </is>
      </c>
      <c r="B2" s="62" t="inlineStr">
        <is>
          <t>Description</t>
        </is>
      </c>
      <c r="C2" s="62" t="inlineStr">
        <is>
          <t>Model Number</t>
        </is>
      </c>
      <c r="D2" s="62" t="inlineStr">
        <is>
          <t>Tons / BTU</t>
        </is>
      </c>
      <c r="E2" s="62" t="inlineStr">
        <is>
          <t>SEER2 / AFUE</t>
        </is>
      </c>
      <c r="F2" s="62" t="inlineStr">
        <is>
          <t>Refrigerant</t>
        </is>
      </c>
      <c r="G2" s="62" t="inlineStr">
        <is>
          <t>Our Cost</t>
        </is>
      </c>
      <c r="H2" s="62" t="inlineStr">
        <is>
          <t>Notes</t>
        </is>
      </c>
    </row>
    <row r="3" ht="15" customHeight="1" s="30">
      <c r="A3" s="63" t="inlineStr">
        <is>
          <t>GOODMAN AIR CONDITIONERS — R-32  (Source: Thermal Supply catalog 05/24/2026)</t>
        </is>
      </c>
      <c r="B3" s="64" t="n"/>
      <c r="C3" s="64" t="n"/>
      <c r="D3" s="64" t="n"/>
      <c r="E3" s="64" t="n"/>
      <c r="F3" s="64" t="n"/>
      <c r="G3" s="64" t="n"/>
      <c r="H3" s="65" t="n"/>
    </row>
    <row r="4" ht="15" customHeight="1" s="30">
      <c r="A4" s="66" t="inlineStr">
        <is>
          <t>Series</t>
        </is>
      </c>
      <c r="B4" s="66" t="inlineStr">
        <is>
          <t>Model</t>
        </is>
      </c>
      <c r="C4" s="66" t="inlineStr">
        <is>
          <t>Model #</t>
        </is>
      </c>
      <c r="D4" s="66" t="inlineStr">
        <is>
          <t>Tons</t>
        </is>
      </c>
      <c r="E4" s="66" t="inlineStr">
        <is>
          <t>SEER2</t>
        </is>
      </c>
      <c r="F4" s="66" t="inlineStr">
        <is>
          <t>Refrig.</t>
        </is>
      </c>
      <c r="G4" s="66" t="inlineStr">
        <is>
          <t>Price</t>
        </is>
      </c>
      <c r="H4" s="66" t="inlineStr">
        <is>
          <t>Notes</t>
        </is>
      </c>
    </row>
    <row r="5" ht="15" customHeight="1" s="30">
      <c r="A5" s="67" t="inlineStr">
        <is>
          <t>GLXS3B 15 SEER2</t>
        </is>
      </c>
      <c r="B5" s="67" t="inlineStr">
        <is>
          <t>Single Stage AC R-32</t>
        </is>
      </c>
      <c r="C5" s="67" t="inlineStr">
        <is>
          <t>GLXS3BN1810A*</t>
        </is>
      </c>
      <c r="D5" s="68" t="n">
        <v>1.5</v>
      </c>
      <c r="E5" s="68" t="n">
        <v>15</v>
      </c>
      <c r="F5" s="67" t="inlineStr">
        <is>
          <t>R-32</t>
        </is>
      </c>
      <c r="G5" s="68" t="inlineStr">
        <is>
          <t>$834</t>
        </is>
      </c>
      <c r="H5" s="67" t="inlineStr"/>
    </row>
    <row r="6" ht="15" customHeight="1" s="30">
      <c r="A6" s="69" t="inlineStr">
        <is>
          <t>GLXS3B 15 SEER2</t>
        </is>
      </c>
      <c r="B6" s="69" t="inlineStr">
        <is>
          <t>Single Stage AC R-32</t>
        </is>
      </c>
      <c r="C6" s="69" t="inlineStr">
        <is>
          <t>GLXS3BN2410A*</t>
        </is>
      </c>
      <c r="D6" s="70" t="n">
        <v>2</v>
      </c>
      <c r="E6" s="70" t="n">
        <v>15</v>
      </c>
      <c r="F6" s="69" t="inlineStr">
        <is>
          <t>R-32</t>
        </is>
      </c>
      <c r="G6" s="70" t="inlineStr">
        <is>
          <t>$901</t>
        </is>
      </c>
      <c r="H6" s="69" t="inlineStr"/>
    </row>
    <row r="7" ht="15" customHeight="1" s="30">
      <c r="A7" s="67" t="inlineStr">
        <is>
          <t>GLXS3B 15 SEER2</t>
        </is>
      </c>
      <c r="B7" s="67" t="inlineStr">
        <is>
          <t>Single Stage AC R-32</t>
        </is>
      </c>
      <c r="C7" s="67" t="inlineStr">
        <is>
          <t>GLXS3BN3010A*</t>
        </is>
      </c>
      <c r="D7" s="68" t="n">
        <v>2.5</v>
      </c>
      <c r="E7" s="68" t="n">
        <v>15</v>
      </c>
      <c r="F7" s="67" t="inlineStr">
        <is>
          <t>R-32</t>
        </is>
      </c>
      <c r="G7" s="68" t="inlineStr">
        <is>
          <t>$939</t>
        </is>
      </c>
      <c r="H7" s="67" t="inlineStr"/>
    </row>
    <row r="8" ht="15" customHeight="1" s="30">
      <c r="A8" s="69" t="inlineStr">
        <is>
          <t>GLXS3B 15 SEER2</t>
        </is>
      </c>
      <c r="B8" s="69" t="inlineStr">
        <is>
          <t>Single Stage AC R-32</t>
        </is>
      </c>
      <c r="C8" s="69" t="inlineStr">
        <is>
          <t>GLXS3BN3610A*</t>
        </is>
      </c>
      <c r="D8" s="70" t="n">
        <v>3</v>
      </c>
      <c r="E8" s="70" t="n">
        <v>15</v>
      </c>
      <c r="F8" s="69" t="inlineStr">
        <is>
          <t>R-32</t>
        </is>
      </c>
      <c r="G8" s="70" t="inlineStr">
        <is>
          <t>$1,056</t>
        </is>
      </c>
      <c r="H8" s="69" t="inlineStr"/>
    </row>
    <row r="9" ht="15" customHeight="1" s="30">
      <c r="A9" s="67" t="inlineStr">
        <is>
          <t>GLXS3B 15 SEER2</t>
        </is>
      </c>
      <c r="B9" s="67" t="inlineStr">
        <is>
          <t>Single Stage AC R-32</t>
        </is>
      </c>
      <c r="C9" s="67" t="inlineStr">
        <is>
          <t>GLXS3BN4210A*</t>
        </is>
      </c>
      <c r="D9" s="68" t="n">
        <v>3.5</v>
      </c>
      <c r="E9" s="68" t="n">
        <v>15</v>
      </c>
      <c r="F9" s="67" t="inlineStr">
        <is>
          <t>R-32</t>
        </is>
      </c>
      <c r="G9" s="68" t="inlineStr">
        <is>
          <t>$1,195</t>
        </is>
      </c>
      <c r="H9" s="67" t="inlineStr"/>
    </row>
    <row r="10" ht="15" customHeight="1" s="30">
      <c r="A10" s="69" t="inlineStr">
        <is>
          <t>GLXS3B 15 SEER2</t>
        </is>
      </c>
      <c r="B10" s="69" t="inlineStr">
        <is>
          <t>Single Stage AC R-32</t>
        </is>
      </c>
      <c r="C10" s="69" t="inlineStr">
        <is>
          <t>GLXS3BN4810A*</t>
        </is>
      </c>
      <c r="D10" s="70" t="n">
        <v>4</v>
      </c>
      <c r="E10" s="70" t="n">
        <v>15</v>
      </c>
      <c r="F10" s="69" t="inlineStr">
        <is>
          <t>R-32</t>
        </is>
      </c>
      <c r="G10" s="70" t="inlineStr">
        <is>
          <t>$1,292</t>
        </is>
      </c>
      <c r="H10" s="69" t="inlineStr"/>
    </row>
    <row r="11" ht="15" customHeight="1" s="30">
      <c r="A11" s="67" t="inlineStr">
        <is>
          <t>GLXS3B 15 SEER2</t>
        </is>
      </c>
      <c r="B11" s="67" t="inlineStr">
        <is>
          <t>Single Stage AC R-32</t>
        </is>
      </c>
      <c r="C11" s="67" t="inlineStr">
        <is>
          <t>GLXS3BN6010A*</t>
        </is>
      </c>
      <c r="D11" s="68" t="n">
        <v>5</v>
      </c>
      <c r="E11" s="68" t="n">
        <v>15</v>
      </c>
      <c r="F11" s="67" t="inlineStr">
        <is>
          <t>R-32</t>
        </is>
      </c>
      <c r="G11" s="68" t="inlineStr">
        <is>
          <t>$1,475</t>
        </is>
      </c>
      <c r="H11" s="67" t="inlineStr"/>
    </row>
    <row r="12" ht="15" customHeight="1" s="30">
      <c r="A12" s="69" t="inlineStr">
        <is>
          <t>GLXS4B 15.2 SEER2</t>
        </is>
      </c>
      <c r="B12" s="69" t="inlineStr">
        <is>
          <t>Single Stage AC R-32</t>
        </is>
      </c>
      <c r="C12" s="69" t="inlineStr">
        <is>
          <t>GLXS4BA1810A*</t>
        </is>
      </c>
      <c r="D12" s="70" t="n">
        <v>1.5</v>
      </c>
      <c r="E12" s="70" t="n">
        <v>15.2</v>
      </c>
      <c r="F12" s="69" t="inlineStr">
        <is>
          <t>R-32</t>
        </is>
      </c>
      <c r="G12" s="70" t="inlineStr">
        <is>
          <t>$941</t>
        </is>
      </c>
      <c r="H12" s="69" t="inlineStr"/>
    </row>
    <row r="13" ht="15" customHeight="1" s="30">
      <c r="A13" s="67" t="inlineStr">
        <is>
          <t>GLXS4B 15.2 SEER2</t>
        </is>
      </c>
      <c r="B13" s="67" t="inlineStr">
        <is>
          <t>Single Stage AC R-32</t>
        </is>
      </c>
      <c r="C13" s="67" t="inlineStr">
        <is>
          <t>GLXS4BA2410A*</t>
        </is>
      </c>
      <c r="D13" s="68" t="n">
        <v>2</v>
      </c>
      <c r="E13" s="68" t="n">
        <v>15.2</v>
      </c>
      <c r="F13" s="67" t="inlineStr">
        <is>
          <t>R-32</t>
        </is>
      </c>
      <c r="G13" s="68" t="inlineStr">
        <is>
          <t>$1,017</t>
        </is>
      </c>
      <c r="H13" s="67" t="inlineStr"/>
    </row>
    <row r="14" ht="15" customHeight="1" s="30">
      <c r="A14" s="69" t="inlineStr">
        <is>
          <t>GLXS4B 15.2 SEER2</t>
        </is>
      </c>
      <c r="B14" s="69" t="inlineStr">
        <is>
          <t>Single Stage AC R-32</t>
        </is>
      </c>
      <c r="C14" s="69" t="inlineStr">
        <is>
          <t>GLXS4BA3010A*</t>
        </is>
      </c>
      <c r="D14" s="70" t="n">
        <v>2.5</v>
      </c>
      <c r="E14" s="70" t="n">
        <v>15.2</v>
      </c>
      <c r="F14" s="69" t="inlineStr">
        <is>
          <t>R-32</t>
        </is>
      </c>
      <c r="G14" s="70" t="inlineStr">
        <is>
          <t>$1,061</t>
        </is>
      </c>
      <c r="H14" s="69" t="inlineStr"/>
    </row>
    <row r="15" ht="15" customHeight="1" s="30">
      <c r="A15" s="67" t="inlineStr">
        <is>
          <t>GLXS4B 15.2 SEER2</t>
        </is>
      </c>
      <c r="B15" s="67" t="inlineStr">
        <is>
          <t>Single Stage AC R-32</t>
        </is>
      </c>
      <c r="C15" s="67" t="inlineStr">
        <is>
          <t>GLXS4BA3610A*</t>
        </is>
      </c>
      <c r="D15" s="68" t="n">
        <v>3</v>
      </c>
      <c r="E15" s="68" t="n">
        <v>15.2</v>
      </c>
      <c r="F15" s="67" t="inlineStr">
        <is>
          <t>R-32</t>
        </is>
      </c>
      <c r="G15" s="68" t="inlineStr">
        <is>
          <t>$1,192</t>
        </is>
      </c>
      <c r="H15" s="67" t="inlineStr"/>
    </row>
    <row r="16" ht="15" customHeight="1" s="30">
      <c r="A16" s="69" t="inlineStr">
        <is>
          <t>GLXS4B 15.2 SEER2</t>
        </is>
      </c>
      <c r="B16" s="69" t="inlineStr">
        <is>
          <t>Single Stage AC R-32</t>
        </is>
      </c>
      <c r="C16" s="69" t="inlineStr">
        <is>
          <t>GLXS4BA4210A*</t>
        </is>
      </c>
      <c r="D16" s="70" t="n">
        <v>3.5</v>
      </c>
      <c r="E16" s="70" t="n">
        <v>15.2</v>
      </c>
      <c r="F16" s="69" t="inlineStr">
        <is>
          <t>R-32</t>
        </is>
      </c>
      <c r="G16" s="70" t="inlineStr">
        <is>
          <t>$1,349</t>
        </is>
      </c>
      <c r="H16" s="69" t="inlineStr"/>
    </row>
    <row r="17" ht="15" customHeight="1" s="30">
      <c r="A17" s="67" t="inlineStr">
        <is>
          <t>GLXS4B 15.2 SEER2</t>
        </is>
      </c>
      <c r="B17" s="67" t="inlineStr">
        <is>
          <t>Single Stage AC R-32</t>
        </is>
      </c>
      <c r="C17" s="67" t="inlineStr">
        <is>
          <t>GLXS4BA4810A*</t>
        </is>
      </c>
      <c r="D17" s="68" t="n">
        <v>4</v>
      </c>
      <c r="E17" s="68" t="n">
        <v>15.2</v>
      </c>
      <c r="F17" s="67" t="inlineStr">
        <is>
          <t>R-32</t>
        </is>
      </c>
      <c r="G17" s="68" t="inlineStr">
        <is>
          <t>$1,458</t>
        </is>
      </c>
      <c r="H17" s="67" t="inlineStr"/>
    </row>
    <row r="18" ht="15" customHeight="1" s="30">
      <c r="A18" s="69" t="inlineStr">
        <is>
          <t>GLXS4B 15.2 SEER2</t>
        </is>
      </c>
      <c r="B18" s="69" t="inlineStr">
        <is>
          <t>Single Stage AC R-32</t>
        </is>
      </c>
      <c r="C18" s="69" t="inlineStr">
        <is>
          <t>GLXS4BA6010A*</t>
        </is>
      </c>
      <c r="D18" s="70" t="n">
        <v>5</v>
      </c>
      <c r="E18" s="70" t="n">
        <v>15.2</v>
      </c>
      <c r="F18" s="69" t="inlineStr">
        <is>
          <t>R-32</t>
        </is>
      </c>
      <c r="G18" s="70" t="inlineStr">
        <is>
          <t>$1,665</t>
        </is>
      </c>
      <c r="H18" s="69" t="inlineStr"/>
    </row>
    <row r="19" ht="15" customHeight="1" s="30">
      <c r="A19" s="67" t="inlineStr">
        <is>
          <t>GLXS5B 16.5 SEER2</t>
        </is>
      </c>
      <c r="B19" s="67" t="inlineStr">
        <is>
          <t>Single Stage AC R-32</t>
        </is>
      </c>
      <c r="C19" s="67" t="inlineStr">
        <is>
          <t>GLXS5BA1810A*</t>
        </is>
      </c>
      <c r="D19" s="68" t="n">
        <v>1.5</v>
      </c>
      <c r="E19" s="68" t="n">
        <v>16.5</v>
      </c>
      <c r="F19" s="67" t="inlineStr">
        <is>
          <t>R-32</t>
        </is>
      </c>
      <c r="G19" s="68" t="inlineStr">
        <is>
          <t>$1,131</t>
        </is>
      </c>
      <c r="H19" s="67" t="inlineStr"/>
    </row>
    <row r="20" ht="15" customHeight="1" s="30">
      <c r="A20" s="69" t="inlineStr">
        <is>
          <t>GLXS5B 16.5 SEER2</t>
        </is>
      </c>
      <c r="B20" s="69" t="inlineStr">
        <is>
          <t>Single Stage AC R-32</t>
        </is>
      </c>
      <c r="C20" s="69" t="inlineStr">
        <is>
          <t>GLXS5BA2410A*</t>
        </is>
      </c>
      <c r="D20" s="70" t="n">
        <v>2</v>
      </c>
      <c r="E20" s="70" t="n">
        <v>16.5</v>
      </c>
      <c r="F20" s="69" t="inlineStr">
        <is>
          <t>R-32</t>
        </is>
      </c>
      <c r="G20" s="70" t="inlineStr">
        <is>
          <t>$1,221</t>
        </is>
      </c>
      <c r="H20" s="69" t="inlineStr"/>
    </row>
    <row r="21" ht="15" customHeight="1" s="30">
      <c r="A21" s="67" t="inlineStr">
        <is>
          <t>GLXS5B 16.5 SEER2</t>
        </is>
      </c>
      <c r="B21" s="67" t="inlineStr">
        <is>
          <t>Single Stage AC R-32</t>
        </is>
      </c>
      <c r="C21" s="67" t="inlineStr">
        <is>
          <t>GLXS5BA3010A*</t>
        </is>
      </c>
      <c r="D21" s="68" t="n">
        <v>2.5</v>
      </c>
      <c r="E21" s="68" t="n">
        <v>16.5</v>
      </c>
      <c r="F21" s="67" t="inlineStr">
        <is>
          <t>R-32</t>
        </is>
      </c>
      <c r="G21" s="68" t="inlineStr">
        <is>
          <t>$1,276</t>
        </is>
      </c>
      <c r="H21" s="67" t="inlineStr"/>
    </row>
    <row r="22" ht="15" customHeight="1" s="30">
      <c r="A22" s="69" t="inlineStr">
        <is>
          <t>GLXS5B 16.5 SEER2</t>
        </is>
      </c>
      <c r="B22" s="69" t="inlineStr">
        <is>
          <t>Single Stage AC R-32</t>
        </is>
      </c>
      <c r="C22" s="69" t="inlineStr">
        <is>
          <t>GLXS5BA3610A*</t>
        </is>
      </c>
      <c r="D22" s="70" t="n">
        <v>3</v>
      </c>
      <c r="E22" s="70" t="n">
        <v>16.5</v>
      </c>
      <c r="F22" s="69" t="inlineStr">
        <is>
          <t>R-32</t>
        </is>
      </c>
      <c r="G22" s="70" t="inlineStr">
        <is>
          <t>$1,433</t>
        </is>
      </c>
      <c r="H22" s="69" t="inlineStr"/>
    </row>
    <row r="23" ht="15" customHeight="1" s="30">
      <c r="A23" s="67" t="inlineStr">
        <is>
          <t>GLXS5B 16.5 SEER2</t>
        </is>
      </c>
      <c r="B23" s="67" t="inlineStr">
        <is>
          <t>Single Stage AC R-32</t>
        </is>
      </c>
      <c r="C23" s="67" t="inlineStr">
        <is>
          <t>GLXS5BA4210A*</t>
        </is>
      </c>
      <c r="D23" s="68" t="n">
        <v>3.5</v>
      </c>
      <c r="E23" s="68" t="n">
        <v>16.5</v>
      </c>
      <c r="F23" s="67" t="inlineStr">
        <is>
          <t>R-32</t>
        </is>
      </c>
      <c r="G23" s="68" t="inlineStr">
        <is>
          <t>$1,621</t>
        </is>
      </c>
      <c r="H23" s="67" t="inlineStr"/>
    </row>
    <row r="24" ht="15" customHeight="1" s="30">
      <c r="A24" s="69" t="inlineStr">
        <is>
          <t>GLXS5B 16.5 SEER2</t>
        </is>
      </c>
      <c r="B24" s="69" t="inlineStr">
        <is>
          <t>Single Stage AC R-32</t>
        </is>
      </c>
      <c r="C24" s="69" t="inlineStr">
        <is>
          <t>GLXS5BA4810A*</t>
        </is>
      </c>
      <c r="D24" s="70" t="n">
        <v>4</v>
      </c>
      <c r="E24" s="70" t="n">
        <v>16.5</v>
      </c>
      <c r="F24" s="69" t="inlineStr">
        <is>
          <t>R-32</t>
        </is>
      </c>
      <c r="G24" s="70" t="inlineStr">
        <is>
          <t>$1,753</t>
        </is>
      </c>
      <c r="H24" s="69" t="inlineStr"/>
    </row>
    <row r="25" ht="15" customHeight="1" s="30">
      <c r="A25" s="67" t="inlineStr">
        <is>
          <t>GLXS5B 16.5 SEER2</t>
        </is>
      </c>
      <c r="B25" s="67" t="inlineStr">
        <is>
          <t>Single Stage AC R-32</t>
        </is>
      </c>
      <c r="C25" s="67" t="inlineStr">
        <is>
          <t>GLXS5BA6010A*</t>
        </is>
      </c>
      <c r="D25" s="68" t="n">
        <v>5</v>
      </c>
      <c r="E25" s="68" t="n">
        <v>16.5</v>
      </c>
      <c r="F25" s="67" t="inlineStr">
        <is>
          <t>R-32</t>
        </is>
      </c>
      <c r="G25" s="68" t="inlineStr">
        <is>
          <t>$2,003</t>
        </is>
      </c>
      <c r="H25" s="67" t="inlineStr"/>
    </row>
    <row r="26" ht="15" customHeight="1" s="30">
      <c r="A26" s="69" t="inlineStr">
        <is>
          <t>GLXT7C 17.2 SEER2</t>
        </is>
      </c>
      <c r="B26" s="69" t="inlineStr">
        <is>
          <t>2-Stage Comm. AC R-32</t>
        </is>
      </c>
      <c r="C26" s="69" t="inlineStr">
        <is>
          <t>GLXT7CA2410A*</t>
        </is>
      </c>
      <c r="D26" s="70" t="n">
        <v>2</v>
      </c>
      <c r="E26" s="70" t="n">
        <v>17.2</v>
      </c>
      <c r="F26" s="69" t="inlineStr">
        <is>
          <t>R-32</t>
        </is>
      </c>
      <c r="G26" s="70" t="inlineStr">
        <is>
          <t>$1,545</t>
        </is>
      </c>
      <c r="H26" s="69" t="inlineStr"/>
    </row>
    <row r="27" ht="15" customHeight="1" s="30">
      <c r="A27" s="67" t="inlineStr">
        <is>
          <t>GLXT7C 17.2 SEER2</t>
        </is>
      </c>
      <c r="B27" s="67" t="inlineStr">
        <is>
          <t>2-Stage Comm. AC R-32</t>
        </is>
      </c>
      <c r="C27" s="67" t="inlineStr">
        <is>
          <t>GLXT7CA3610A*</t>
        </is>
      </c>
      <c r="D27" s="68" t="n">
        <v>3</v>
      </c>
      <c r="E27" s="68" t="n">
        <v>17.2</v>
      </c>
      <c r="F27" s="67" t="inlineStr">
        <is>
          <t>R-32</t>
        </is>
      </c>
      <c r="G27" s="68" t="inlineStr">
        <is>
          <t>$1,810</t>
        </is>
      </c>
      <c r="H27" s="67" t="inlineStr"/>
    </row>
    <row r="28" ht="15" customHeight="1" s="30">
      <c r="A28" s="69" t="inlineStr">
        <is>
          <t>GLXT7C 17.2 SEER2</t>
        </is>
      </c>
      <c r="B28" s="69" t="inlineStr">
        <is>
          <t>2-Stage Comm. AC R-32</t>
        </is>
      </c>
      <c r="C28" s="69" t="inlineStr">
        <is>
          <t>GLXT7CA4810A*</t>
        </is>
      </c>
      <c r="D28" s="70" t="n">
        <v>4</v>
      </c>
      <c r="E28" s="70" t="n">
        <v>17.2</v>
      </c>
      <c r="F28" s="69" t="inlineStr">
        <is>
          <t>R-32</t>
        </is>
      </c>
      <c r="G28" s="70" t="inlineStr">
        <is>
          <t>$2,215</t>
        </is>
      </c>
      <c r="H28" s="69" t="inlineStr"/>
    </row>
    <row r="29" ht="15" customHeight="1" s="30">
      <c r="A29" s="67" t="inlineStr">
        <is>
          <t>GLXT7C 17.2 SEER2</t>
        </is>
      </c>
      <c r="B29" s="67" t="inlineStr">
        <is>
          <t>2-Stage Comm. AC R-32</t>
        </is>
      </c>
      <c r="C29" s="67" t="inlineStr">
        <is>
          <t>GLXT7CA6010A*</t>
        </is>
      </c>
      <c r="D29" s="68" t="n">
        <v>5</v>
      </c>
      <c r="E29" s="68" t="n">
        <v>17.2</v>
      </c>
      <c r="F29" s="67" t="inlineStr">
        <is>
          <t>R-32</t>
        </is>
      </c>
      <c r="G29" s="68" t="inlineStr">
        <is>
          <t>$2,531</t>
        </is>
      </c>
      <c r="H29" s="67" t="inlineStr"/>
    </row>
    <row r="30" ht="15" customHeight="1" s="30"/>
    <row r="31" ht="15" customHeight="1" s="30">
      <c r="A31" s="63" t="inlineStr">
        <is>
          <t>GOODMAN HEAT PUMPS — R-32  (Source: Thermal Supply catalog 05/24/2026)</t>
        </is>
      </c>
      <c r="B31" s="64" t="n"/>
      <c r="C31" s="64" t="n"/>
      <c r="D31" s="64" t="n"/>
      <c r="E31" s="64" t="n"/>
      <c r="F31" s="64" t="n"/>
      <c r="G31" s="64" t="n"/>
      <c r="H31" s="65" t="n"/>
    </row>
    <row r="32" ht="15" customHeight="1" s="30">
      <c r="A32" s="66" t="inlineStr">
        <is>
          <t>Series</t>
        </is>
      </c>
      <c r="B32" s="66" t="inlineStr">
        <is>
          <t>Model</t>
        </is>
      </c>
      <c r="C32" s="66" t="inlineStr">
        <is>
          <t>Model #</t>
        </is>
      </c>
      <c r="D32" s="66" t="inlineStr">
        <is>
          <t>Tons</t>
        </is>
      </c>
      <c r="E32" s="66" t="inlineStr">
        <is>
          <t>SEER2</t>
        </is>
      </c>
      <c r="F32" s="66" t="inlineStr">
        <is>
          <t>Refrig.</t>
        </is>
      </c>
      <c r="G32" s="66" t="inlineStr">
        <is>
          <t>Price</t>
        </is>
      </c>
      <c r="H32" s="66" t="inlineStr">
        <is>
          <t>Notes</t>
        </is>
      </c>
    </row>
    <row r="33" ht="15" customHeight="1" s="30">
      <c r="A33" s="67" t="inlineStr">
        <is>
          <t>GLZS4B 15.2 SEER2</t>
        </is>
      </c>
      <c r="B33" s="67" t="inlineStr">
        <is>
          <t>Single Stage HP R-32</t>
        </is>
      </c>
      <c r="C33" s="67" t="inlineStr">
        <is>
          <t>GLZS4BA1810A*</t>
        </is>
      </c>
      <c r="D33" s="68" t="n">
        <v>1.5</v>
      </c>
      <c r="E33" s="68" t="n">
        <v>15.2</v>
      </c>
      <c r="F33" s="67" t="inlineStr">
        <is>
          <t>R-32</t>
        </is>
      </c>
      <c r="G33" s="68" t="inlineStr">
        <is>
          <t>$1,166</t>
        </is>
      </c>
      <c r="H33" s="67" t="inlineStr"/>
    </row>
    <row r="34" ht="15" customHeight="1" s="30">
      <c r="A34" s="69" t="inlineStr">
        <is>
          <t>GLZS4B 15.2 SEER2</t>
        </is>
      </c>
      <c r="B34" s="69" t="inlineStr">
        <is>
          <t>Single Stage HP R-32</t>
        </is>
      </c>
      <c r="C34" s="69" t="inlineStr">
        <is>
          <t>GLZS4BA2410A*</t>
        </is>
      </c>
      <c r="D34" s="70" t="n">
        <v>2</v>
      </c>
      <c r="E34" s="70" t="n">
        <v>15.2</v>
      </c>
      <c r="F34" s="69" t="inlineStr">
        <is>
          <t>R-32</t>
        </is>
      </c>
      <c r="G34" s="70" t="inlineStr">
        <is>
          <t>$1,206</t>
        </is>
      </c>
      <c r="H34" s="69" t="inlineStr"/>
    </row>
    <row r="35" ht="15" customHeight="1" s="30">
      <c r="A35" s="67" t="inlineStr">
        <is>
          <t>GLZS4B 15.2 SEER2</t>
        </is>
      </c>
      <c r="B35" s="67" t="inlineStr">
        <is>
          <t>Single Stage HP R-32</t>
        </is>
      </c>
      <c r="C35" s="67" t="inlineStr">
        <is>
          <t>GLZS4BA3010A*</t>
        </is>
      </c>
      <c r="D35" s="68" t="n">
        <v>2.5</v>
      </c>
      <c r="E35" s="68" t="n">
        <v>15.2</v>
      </c>
      <c r="F35" s="67" t="inlineStr">
        <is>
          <t>R-32</t>
        </is>
      </c>
      <c r="G35" s="68" t="inlineStr">
        <is>
          <t>$1,393</t>
        </is>
      </c>
      <c r="H35" s="67" t="inlineStr"/>
    </row>
    <row r="36" ht="15" customHeight="1" s="30">
      <c r="A36" s="69" t="inlineStr">
        <is>
          <t>GLZS4B 15.2 SEER2</t>
        </is>
      </c>
      <c r="B36" s="69" t="inlineStr">
        <is>
          <t>Single Stage HP R-32</t>
        </is>
      </c>
      <c r="C36" s="69" t="inlineStr">
        <is>
          <t>GLZS4BA3610A*</t>
        </is>
      </c>
      <c r="D36" s="70" t="n">
        <v>3</v>
      </c>
      <c r="E36" s="70" t="n">
        <v>15.2</v>
      </c>
      <c r="F36" s="69" t="inlineStr">
        <is>
          <t>R-32</t>
        </is>
      </c>
      <c r="G36" s="70" t="inlineStr">
        <is>
          <t>$1,598</t>
        </is>
      </c>
      <c r="H36" s="69" t="inlineStr"/>
    </row>
    <row r="37" ht="15" customHeight="1" s="30">
      <c r="A37" s="67" t="inlineStr">
        <is>
          <t>GLZS4B 15.2 SEER2</t>
        </is>
      </c>
      <c r="B37" s="67" t="inlineStr">
        <is>
          <t>Single Stage HP R-32</t>
        </is>
      </c>
      <c r="C37" s="67" t="inlineStr">
        <is>
          <t>GLZS4BA4210A*</t>
        </is>
      </c>
      <c r="D37" s="68" t="n">
        <v>3.5</v>
      </c>
      <c r="E37" s="68" t="n">
        <v>15.2</v>
      </c>
      <c r="F37" s="67" t="inlineStr">
        <is>
          <t>R-32</t>
        </is>
      </c>
      <c r="G37" s="68" t="inlineStr">
        <is>
          <t>$1,727</t>
        </is>
      </c>
      <c r="H37" s="67" t="inlineStr"/>
    </row>
    <row r="38" ht="15" customHeight="1" s="30">
      <c r="A38" s="69" t="inlineStr">
        <is>
          <t>GLZS4B 15.2 SEER2</t>
        </is>
      </c>
      <c r="B38" s="69" t="inlineStr">
        <is>
          <t>Single Stage HP R-32</t>
        </is>
      </c>
      <c r="C38" s="69" t="inlineStr">
        <is>
          <t>GLZS4BA4810A*</t>
        </is>
      </c>
      <c r="D38" s="70" t="n">
        <v>4</v>
      </c>
      <c r="E38" s="70" t="n">
        <v>15.2</v>
      </c>
      <c r="F38" s="69" t="inlineStr">
        <is>
          <t>R-32</t>
        </is>
      </c>
      <c r="G38" s="70" t="inlineStr">
        <is>
          <t>$1,890</t>
        </is>
      </c>
      <c r="H38" s="69" t="inlineStr"/>
    </row>
    <row r="39" ht="15" customHeight="1" s="30">
      <c r="A39" s="67" t="inlineStr">
        <is>
          <t>GLZS4B 15.2 SEER2</t>
        </is>
      </c>
      <c r="B39" s="67" t="inlineStr">
        <is>
          <t>Single Stage HP R-32</t>
        </is>
      </c>
      <c r="C39" s="67" t="inlineStr">
        <is>
          <t>GLZS4BA6010A*</t>
        </is>
      </c>
      <c r="D39" s="68" t="n">
        <v>5</v>
      </c>
      <c r="E39" s="68" t="n">
        <v>15.2</v>
      </c>
      <c r="F39" s="67" t="inlineStr">
        <is>
          <t>R-32</t>
        </is>
      </c>
      <c r="G39" s="68" t="inlineStr">
        <is>
          <t>$2,212</t>
        </is>
      </c>
      <c r="H39" s="67" t="inlineStr"/>
    </row>
    <row r="40" ht="15" customHeight="1" s="30">
      <c r="A40" s="69" t="inlineStr">
        <is>
          <t>GLZS5B 16 SEER2</t>
        </is>
      </c>
      <c r="B40" s="69" t="inlineStr">
        <is>
          <t>Single Stage HP R-32</t>
        </is>
      </c>
      <c r="C40" s="69" t="inlineStr">
        <is>
          <t>GLZS5BA1810A*</t>
        </is>
      </c>
      <c r="D40" s="70" t="n">
        <v>1.5</v>
      </c>
      <c r="E40" s="70" t="n">
        <v>16</v>
      </c>
      <c r="F40" s="69" t="inlineStr">
        <is>
          <t>R-32</t>
        </is>
      </c>
      <c r="G40" s="70" t="inlineStr">
        <is>
          <t>$1,467</t>
        </is>
      </c>
      <c r="H40" s="69" t="inlineStr"/>
    </row>
    <row r="41" ht="15" customHeight="1" s="30">
      <c r="A41" s="67" t="inlineStr">
        <is>
          <t>GLZS5B 16 SEER2</t>
        </is>
      </c>
      <c r="B41" s="67" t="inlineStr">
        <is>
          <t>Single Stage HP R-32</t>
        </is>
      </c>
      <c r="C41" s="67" t="inlineStr">
        <is>
          <t>GLZS5BA2410A*</t>
        </is>
      </c>
      <c r="D41" s="68" t="n">
        <v>2</v>
      </c>
      <c r="E41" s="68" t="n">
        <v>16</v>
      </c>
      <c r="F41" s="67" t="inlineStr">
        <is>
          <t>R-32</t>
        </is>
      </c>
      <c r="G41" s="68" t="inlineStr">
        <is>
          <t>$1,516</t>
        </is>
      </c>
      <c r="H41" s="67" t="inlineStr"/>
    </row>
    <row r="42" ht="15" customHeight="1" s="30">
      <c r="A42" s="69" t="inlineStr">
        <is>
          <t>GLZS5B 16 SEER2</t>
        </is>
      </c>
      <c r="B42" s="69" t="inlineStr">
        <is>
          <t>Single Stage HP R-32</t>
        </is>
      </c>
      <c r="C42" s="69" t="inlineStr">
        <is>
          <t>GLZS5BA3010A*</t>
        </is>
      </c>
      <c r="D42" s="70" t="n">
        <v>2.5</v>
      </c>
      <c r="E42" s="70" t="n">
        <v>16</v>
      </c>
      <c r="F42" s="69" t="inlineStr">
        <is>
          <t>R-32</t>
        </is>
      </c>
      <c r="G42" s="70" t="inlineStr">
        <is>
          <t>$1,694</t>
        </is>
      </c>
      <c r="H42" s="69" t="inlineStr"/>
    </row>
    <row r="43" ht="15" customHeight="1" s="30">
      <c r="A43" s="67" t="inlineStr">
        <is>
          <t>GLZS5B 16 SEER2</t>
        </is>
      </c>
      <c r="B43" s="67" t="inlineStr">
        <is>
          <t>Single Stage HP R-32</t>
        </is>
      </c>
      <c r="C43" s="67" t="inlineStr">
        <is>
          <t>GLZS5BA3610A*</t>
        </is>
      </c>
      <c r="D43" s="68" t="n">
        <v>3</v>
      </c>
      <c r="E43" s="68" t="n">
        <v>16</v>
      </c>
      <c r="F43" s="67" t="inlineStr">
        <is>
          <t>R-32</t>
        </is>
      </c>
      <c r="G43" s="68" t="inlineStr">
        <is>
          <t>$1,860</t>
        </is>
      </c>
      <c r="H43" s="67" t="inlineStr"/>
    </row>
    <row r="44" ht="15" customHeight="1" s="30">
      <c r="A44" s="69" t="inlineStr">
        <is>
          <t>GLZS5B 16 SEER2</t>
        </is>
      </c>
      <c r="B44" s="69" t="inlineStr">
        <is>
          <t>Single Stage HP R-32</t>
        </is>
      </c>
      <c r="C44" s="69" t="inlineStr">
        <is>
          <t>GLZS5BA4210A*</t>
        </is>
      </c>
      <c r="D44" s="70" t="n">
        <v>3.5</v>
      </c>
      <c r="E44" s="70" t="n">
        <v>16</v>
      </c>
      <c r="F44" s="69" t="inlineStr">
        <is>
          <t>R-32</t>
        </is>
      </c>
      <c r="G44" s="70" t="inlineStr">
        <is>
          <t>$2,011</t>
        </is>
      </c>
      <c r="H44" s="69" t="inlineStr"/>
    </row>
    <row r="45" ht="15" customHeight="1" s="30">
      <c r="A45" s="67" t="inlineStr">
        <is>
          <t>GLZS5B 16 SEER2</t>
        </is>
      </c>
      <c r="B45" s="67" t="inlineStr">
        <is>
          <t>Single Stage HP R-32</t>
        </is>
      </c>
      <c r="C45" s="67" t="inlineStr">
        <is>
          <t>GLZS5BA4810A*</t>
        </is>
      </c>
      <c r="D45" s="68" t="n">
        <v>4</v>
      </c>
      <c r="E45" s="68" t="n">
        <v>16</v>
      </c>
      <c r="F45" s="67" t="inlineStr">
        <is>
          <t>R-32</t>
        </is>
      </c>
      <c r="G45" s="68" t="inlineStr">
        <is>
          <t>$2,201</t>
        </is>
      </c>
      <c r="H45" s="67" t="inlineStr"/>
    </row>
    <row r="46" ht="15" customHeight="1" s="30">
      <c r="A46" s="69" t="inlineStr">
        <is>
          <t>GLZS5B 16 SEER2</t>
        </is>
      </c>
      <c r="B46" s="69" t="inlineStr">
        <is>
          <t>Single Stage HP R-32</t>
        </is>
      </c>
      <c r="C46" s="69" t="inlineStr">
        <is>
          <t>GLZS5BA6010A*</t>
        </is>
      </c>
      <c r="D46" s="70" t="n">
        <v>5</v>
      </c>
      <c r="E46" s="70" t="n">
        <v>16</v>
      </c>
      <c r="F46" s="69" t="inlineStr">
        <is>
          <t>R-32</t>
        </is>
      </c>
      <c r="G46" s="70" t="inlineStr">
        <is>
          <t>$2,620</t>
        </is>
      </c>
      <c r="H46" s="69" t="inlineStr"/>
    </row>
    <row r="47" ht="15" customHeight="1" s="30">
      <c r="A47" s="67" t="inlineStr">
        <is>
          <t>GLZT7C 17.5 SEER2</t>
        </is>
      </c>
      <c r="B47" s="67" t="inlineStr">
        <is>
          <t>2-Stage Comm. HP R-32</t>
        </is>
      </c>
      <c r="C47" s="67" t="inlineStr">
        <is>
          <t>GLZT7CA2410A*</t>
        </is>
      </c>
      <c r="D47" s="68" t="n">
        <v>2</v>
      </c>
      <c r="E47" s="68" t="n">
        <v>17.5</v>
      </c>
      <c r="F47" s="67" t="inlineStr">
        <is>
          <t>R-32</t>
        </is>
      </c>
      <c r="G47" s="68" t="inlineStr">
        <is>
          <t>$2,107</t>
        </is>
      </c>
      <c r="H47" s="67" t="inlineStr"/>
    </row>
    <row r="48" ht="15" customHeight="1" s="30">
      <c r="A48" s="69" t="inlineStr">
        <is>
          <t>GLZT7C 17.5 SEER2</t>
        </is>
      </c>
      <c r="B48" s="69" t="inlineStr">
        <is>
          <t>2-Stage Comm. HP R-32</t>
        </is>
      </c>
      <c r="C48" s="69" t="inlineStr">
        <is>
          <t>GLZT7CA3610A*</t>
        </is>
      </c>
      <c r="D48" s="70" t="n">
        <v>3</v>
      </c>
      <c r="E48" s="70" t="n">
        <v>17.5</v>
      </c>
      <c r="F48" s="69" t="inlineStr">
        <is>
          <t>R-32</t>
        </is>
      </c>
      <c r="G48" s="70" t="inlineStr">
        <is>
          <t>$2,394</t>
        </is>
      </c>
      <c r="H48" s="69" t="inlineStr"/>
    </row>
    <row r="49" ht="15" customHeight="1" s="30">
      <c r="A49" s="67" t="inlineStr">
        <is>
          <t>GLZT7C 17.5 SEER2</t>
        </is>
      </c>
      <c r="B49" s="67" t="inlineStr">
        <is>
          <t>2-Stage Comm. HP R-32</t>
        </is>
      </c>
      <c r="C49" s="67" t="inlineStr">
        <is>
          <t>GLZT7CA4810A*</t>
        </is>
      </c>
      <c r="D49" s="68" t="n">
        <v>4</v>
      </c>
      <c r="E49" s="68" t="n">
        <v>17.5</v>
      </c>
      <c r="F49" s="67" t="inlineStr">
        <is>
          <t>R-32</t>
        </is>
      </c>
      <c r="G49" s="68" t="inlineStr">
        <is>
          <t>$2,919</t>
        </is>
      </c>
      <c r="H49" s="67" t="inlineStr"/>
    </row>
    <row r="50" ht="15" customHeight="1" s="30">
      <c r="A50" s="69" t="inlineStr">
        <is>
          <t>GLZT7C 17.5 SEER2</t>
        </is>
      </c>
      <c r="B50" s="69" t="inlineStr">
        <is>
          <t>2-Stage Comm. HP R-32</t>
        </is>
      </c>
      <c r="C50" s="69" t="inlineStr">
        <is>
          <t>GLZT7CA6010A*</t>
        </is>
      </c>
      <c r="D50" s="70" t="n">
        <v>5</v>
      </c>
      <c r="E50" s="70" t="n">
        <v>17.5</v>
      </c>
      <c r="F50" s="69" t="inlineStr">
        <is>
          <t>R-32</t>
        </is>
      </c>
      <c r="G50" s="70" t="inlineStr">
        <is>
          <t>$3,339</t>
        </is>
      </c>
      <c r="H50" s="69" t="inlineStr"/>
    </row>
    <row r="51" ht="15" customHeight="1" s="30">
      <c r="A51" s="67" t="inlineStr">
        <is>
          <t>GZV6S 19 SEER2</t>
        </is>
      </c>
      <c r="B51" s="67" t="inlineStr">
        <is>
          <t>VS Inverter Side-Disch HP</t>
        </is>
      </c>
      <c r="C51" s="67" t="inlineStr">
        <is>
          <t>GZV6SA1810A*</t>
        </is>
      </c>
      <c r="D51" s="68" t="n">
        <v>1.5</v>
      </c>
      <c r="E51" s="68" t="n">
        <v>19</v>
      </c>
      <c r="F51" s="67" t="inlineStr">
        <is>
          <t>R-32</t>
        </is>
      </c>
      <c r="G51" s="68" t="inlineStr">
        <is>
          <t>$1,889</t>
        </is>
      </c>
      <c r="H51" s="67" t="inlineStr"/>
    </row>
    <row r="52" ht="15" customHeight="1" s="30">
      <c r="A52" s="69" t="inlineStr">
        <is>
          <t>GZV6S 19 SEER2</t>
        </is>
      </c>
      <c r="B52" s="69" t="inlineStr">
        <is>
          <t>VS Inverter Side-Disch HP</t>
        </is>
      </c>
      <c r="C52" s="69" t="inlineStr">
        <is>
          <t>GZV6SA2410A*</t>
        </is>
      </c>
      <c r="D52" s="70" t="n">
        <v>2</v>
      </c>
      <c r="E52" s="70" t="n">
        <v>19</v>
      </c>
      <c r="F52" s="69" t="inlineStr">
        <is>
          <t>R-32</t>
        </is>
      </c>
      <c r="G52" s="70" t="inlineStr">
        <is>
          <t>$1,965</t>
        </is>
      </c>
      <c r="H52" s="69" t="inlineStr"/>
    </row>
    <row r="53" ht="15" customHeight="1" s="30">
      <c r="A53" s="67" t="inlineStr">
        <is>
          <t>GZV6S 19 SEER2</t>
        </is>
      </c>
      <c r="B53" s="67" t="inlineStr">
        <is>
          <t>VS Inverter Side-Disch HP</t>
        </is>
      </c>
      <c r="C53" s="67" t="inlineStr">
        <is>
          <t>GZV6SA3010A*</t>
        </is>
      </c>
      <c r="D53" s="68" t="n">
        <v>2.5</v>
      </c>
      <c r="E53" s="68" t="n">
        <v>19</v>
      </c>
      <c r="F53" s="67" t="inlineStr">
        <is>
          <t>R-32</t>
        </is>
      </c>
      <c r="G53" s="68" t="inlineStr">
        <is>
          <t>$2,150</t>
        </is>
      </c>
      <c r="H53" s="67" t="inlineStr"/>
    </row>
    <row r="54" ht="15" customHeight="1" s="30">
      <c r="A54" s="69" t="inlineStr">
        <is>
          <t>GZV6S 19 SEER2</t>
        </is>
      </c>
      <c r="B54" s="69" t="inlineStr">
        <is>
          <t>VS Inverter Side-Disch HP</t>
        </is>
      </c>
      <c r="C54" s="69" t="inlineStr">
        <is>
          <t>GZV6SA3610A*</t>
        </is>
      </c>
      <c r="D54" s="70" t="n">
        <v>3</v>
      </c>
      <c r="E54" s="70" t="n">
        <v>19</v>
      </c>
      <c r="F54" s="69" t="inlineStr">
        <is>
          <t>R-32</t>
        </is>
      </c>
      <c r="G54" s="70" t="inlineStr">
        <is>
          <t>$2,338</t>
        </is>
      </c>
      <c r="H54" s="69" t="inlineStr"/>
    </row>
    <row r="55" ht="15" customHeight="1" s="30">
      <c r="A55" s="67" t="inlineStr">
        <is>
          <t>GZV6S 19 SEER2</t>
        </is>
      </c>
      <c r="B55" s="67" t="inlineStr">
        <is>
          <t>VS Inverter Side-Disch HP</t>
        </is>
      </c>
      <c r="C55" s="67" t="inlineStr">
        <is>
          <t>GZV6SA4210A*</t>
        </is>
      </c>
      <c r="D55" s="68" t="n">
        <v>3.5</v>
      </c>
      <c r="E55" s="68" t="n">
        <v>19</v>
      </c>
      <c r="F55" s="67" t="inlineStr">
        <is>
          <t>R-32</t>
        </is>
      </c>
      <c r="G55" s="68" t="inlineStr">
        <is>
          <t>$2,555</t>
        </is>
      </c>
      <c r="H55" s="67" t="inlineStr"/>
    </row>
    <row r="56" ht="15" customHeight="1" s="30">
      <c r="A56" s="69" t="inlineStr">
        <is>
          <t>GZV6S 19 SEER2</t>
        </is>
      </c>
      <c r="B56" s="69" t="inlineStr">
        <is>
          <t>VS Inverter Side-Disch HP</t>
        </is>
      </c>
      <c r="C56" s="69" t="inlineStr">
        <is>
          <t>GZV6SA4810A*</t>
        </is>
      </c>
      <c r="D56" s="70" t="n">
        <v>4</v>
      </c>
      <c r="E56" s="70" t="n">
        <v>19</v>
      </c>
      <c r="F56" s="69" t="inlineStr">
        <is>
          <t>R-32</t>
        </is>
      </c>
      <c r="G56" s="70" t="inlineStr">
        <is>
          <t>$2,771</t>
        </is>
      </c>
      <c r="H56" s="69" t="inlineStr"/>
    </row>
    <row r="57" ht="15" customHeight="1" s="30">
      <c r="A57" s="67" t="inlineStr">
        <is>
          <t>GZV6S 19 SEER2</t>
        </is>
      </c>
      <c r="B57" s="67" t="inlineStr">
        <is>
          <t>VS Inverter Side-Disch HP</t>
        </is>
      </c>
      <c r="C57" s="67" t="inlineStr">
        <is>
          <t>GZV6SA6010A*</t>
        </is>
      </c>
      <c r="D57" s="68" t="n">
        <v>5</v>
      </c>
      <c r="E57" s="68" t="n">
        <v>19</v>
      </c>
      <c r="F57" s="67" t="inlineStr">
        <is>
          <t>R-32</t>
        </is>
      </c>
      <c r="G57" s="68" t="inlineStr">
        <is>
          <t>$3,196</t>
        </is>
      </c>
      <c r="H57" s="67" t="inlineStr"/>
    </row>
    <row r="58" ht="15" customHeight="1" s="30">
      <c r="A58" s="69" t="inlineStr">
        <is>
          <t>GZV7S 19 SEER2</t>
        </is>
      </c>
      <c r="B58" s="69" t="inlineStr">
        <is>
          <t>VS Inv. Side-Disch Comm HP</t>
        </is>
      </c>
      <c r="C58" s="69" t="inlineStr">
        <is>
          <t>GZV7SA2410A*</t>
        </is>
      </c>
      <c r="D58" s="70" t="n">
        <v>2</v>
      </c>
      <c r="E58" s="70" t="n">
        <v>19</v>
      </c>
      <c r="F58" s="69" t="inlineStr">
        <is>
          <t>R-32</t>
        </is>
      </c>
      <c r="G58" s="70" t="inlineStr">
        <is>
          <t>$2,270</t>
        </is>
      </c>
      <c r="H58" s="69" t="inlineStr"/>
    </row>
    <row r="59" ht="15" customHeight="1" s="30">
      <c r="A59" s="67" t="inlineStr">
        <is>
          <t>GZV7S 19 SEER2</t>
        </is>
      </c>
      <c r="B59" s="67" t="inlineStr">
        <is>
          <t>VS Inv. Side-Disch Comm HP</t>
        </is>
      </c>
      <c r="C59" s="67" t="inlineStr">
        <is>
          <t>GZV7SA3610A*</t>
        </is>
      </c>
      <c r="D59" s="68" t="n">
        <v>3</v>
      </c>
      <c r="E59" s="68" t="n">
        <v>19</v>
      </c>
      <c r="F59" s="67" t="inlineStr">
        <is>
          <t>R-32</t>
        </is>
      </c>
      <c r="G59" s="68" t="inlineStr">
        <is>
          <t>$2,823</t>
        </is>
      </c>
      <c r="H59" s="67" t="inlineStr"/>
    </row>
    <row r="60" ht="15" customHeight="1" s="30">
      <c r="A60" s="69" t="inlineStr">
        <is>
          <t>GZV7S 19 SEER2</t>
        </is>
      </c>
      <c r="B60" s="69" t="inlineStr">
        <is>
          <t>VS Inv. Side-Disch Comm HP</t>
        </is>
      </c>
      <c r="C60" s="69" t="inlineStr">
        <is>
          <t>GZV7SA4210A*</t>
        </is>
      </c>
      <c r="D60" s="70" t="n">
        <v>3.5</v>
      </c>
      <c r="E60" s="70" t="n">
        <v>19</v>
      </c>
      <c r="F60" s="69" t="inlineStr">
        <is>
          <t>R-32</t>
        </is>
      </c>
      <c r="G60" s="70" t="inlineStr">
        <is>
          <t>$2,950</t>
        </is>
      </c>
      <c r="H60" s="69" t="inlineStr"/>
    </row>
    <row r="61" ht="15" customHeight="1" s="30">
      <c r="A61" s="67" t="inlineStr">
        <is>
          <t>GZV7S 19 SEER2</t>
        </is>
      </c>
      <c r="B61" s="67" t="inlineStr">
        <is>
          <t>VS Inv. Side-Disch Comm HP</t>
        </is>
      </c>
      <c r="C61" s="67" t="inlineStr">
        <is>
          <t>GZV7SA4810A*</t>
        </is>
      </c>
      <c r="D61" s="68" t="n">
        <v>4</v>
      </c>
      <c r="E61" s="68" t="n">
        <v>19</v>
      </c>
      <c r="F61" s="67" t="inlineStr">
        <is>
          <t>R-32</t>
        </is>
      </c>
      <c r="G61" s="68" t="inlineStr">
        <is>
          <t>$3,200</t>
        </is>
      </c>
      <c r="H61" s="67" t="inlineStr"/>
    </row>
    <row r="62" ht="15" customHeight="1" s="30">
      <c r="A62" s="69" t="inlineStr">
        <is>
          <t>GZV7S 19 SEER2</t>
        </is>
      </c>
      <c r="B62" s="69" t="inlineStr">
        <is>
          <t>VS Inv. Side-Disch Comm HP</t>
        </is>
      </c>
      <c r="C62" s="69" t="inlineStr">
        <is>
          <t>GZV7SA6010A*</t>
        </is>
      </c>
      <c r="D62" s="70" t="n">
        <v>5</v>
      </c>
      <c r="E62" s="70" t="n">
        <v>19</v>
      </c>
      <c r="F62" s="69" t="inlineStr">
        <is>
          <t>R-32</t>
        </is>
      </c>
      <c r="G62" s="70" t="inlineStr">
        <is>
          <t>$4,419</t>
        </is>
      </c>
      <c r="H62" s="69" t="inlineStr"/>
    </row>
    <row r="63" ht="15" customHeight="1" s="30">
      <c r="A63" s="67" t="inlineStr">
        <is>
          <t>GZV9S 21 SEER2</t>
        </is>
      </c>
      <c r="B63" s="67" t="inlineStr">
        <is>
          <t>Var Cap VS HP R-32</t>
        </is>
      </c>
      <c r="C63" s="67" t="inlineStr">
        <is>
          <t>GZV9SA241CA*</t>
        </is>
      </c>
      <c r="D63" s="68" t="n">
        <v>2</v>
      </c>
      <c r="E63" s="68" t="n">
        <v>21</v>
      </c>
      <c r="F63" s="67" t="inlineStr">
        <is>
          <t>R-32</t>
        </is>
      </c>
      <c r="G63" s="68" t="inlineStr">
        <is>
          <t>$3,878</t>
        </is>
      </c>
      <c r="H63" s="67" t="inlineStr"/>
    </row>
    <row r="64" ht="15" customHeight="1" s="30">
      <c r="A64" s="69" t="inlineStr">
        <is>
          <t>GZV9S 21 SEER2</t>
        </is>
      </c>
      <c r="B64" s="69" t="inlineStr">
        <is>
          <t>Var Cap VS HP R-32</t>
        </is>
      </c>
      <c r="C64" s="69" t="inlineStr">
        <is>
          <t>GZV9SA361CA*</t>
        </is>
      </c>
      <c r="D64" s="70" t="n">
        <v>3</v>
      </c>
      <c r="E64" s="70" t="n">
        <v>21</v>
      </c>
      <c r="F64" s="69" t="inlineStr">
        <is>
          <t>R-32</t>
        </is>
      </c>
      <c r="G64" s="70" t="inlineStr">
        <is>
          <t>$4,319</t>
        </is>
      </c>
      <c r="H64" s="69" t="inlineStr"/>
    </row>
    <row r="65" ht="15" customHeight="1" s="30">
      <c r="A65" s="67" t="inlineStr">
        <is>
          <t>GZV9S 21 SEER2</t>
        </is>
      </c>
      <c r="B65" s="67" t="inlineStr">
        <is>
          <t>Var Cap VS HP R-32</t>
        </is>
      </c>
      <c r="C65" s="67" t="inlineStr">
        <is>
          <t>GZV9SA4810A*</t>
        </is>
      </c>
      <c r="D65" s="68" t="n">
        <v>4</v>
      </c>
      <c r="E65" s="68" t="n">
        <v>21</v>
      </c>
      <c r="F65" s="67" t="inlineStr">
        <is>
          <t>R-32</t>
        </is>
      </c>
      <c r="G65" s="68" t="inlineStr">
        <is>
          <t>$4,678</t>
        </is>
      </c>
      <c r="H65" s="67" t="inlineStr"/>
    </row>
    <row r="66" ht="15" customHeight="1" s="30">
      <c r="A66" s="69" t="inlineStr">
        <is>
          <t>GZV9S 21 SEER2</t>
        </is>
      </c>
      <c r="B66" s="69" t="inlineStr">
        <is>
          <t>Var Cap VS HP R-32</t>
        </is>
      </c>
      <c r="C66" s="69" t="inlineStr">
        <is>
          <t>GZV9SA6010A*</t>
        </is>
      </c>
      <c r="D66" s="70" t="n">
        <v>5</v>
      </c>
      <c r="E66" s="70" t="n">
        <v>21</v>
      </c>
      <c r="F66" s="69" t="inlineStr">
        <is>
          <t>R-32</t>
        </is>
      </c>
      <c r="G66" s="70" t="inlineStr">
        <is>
          <t>$5,069</t>
        </is>
      </c>
      <c r="H66" s="69" t="inlineStr"/>
    </row>
    <row r="67" ht="15" customHeight="1" s="30"/>
    <row r="68" ht="15" customHeight="1" s="30">
      <c r="A68" s="63" t="inlineStr">
        <is>
          <t>GOODMAN GAS FURNACES  (Source: Thermal Supply catalog 05/24/2026)</t>
        </is>
      </c>
      <c r="B68" s="64" t="n"/>
      <c r="C68" s="64" t="n"/>
      <c r="D68" s="64" t="n"/>
      <c r="E68" s="64" t="n"/>
      <c r="F68" s="64" t="n"/>
      <c r="G68" s="64" t="n"/>
      <c r="H68" s="65" t="n"/>
    </row>
    <row r="69" ht="15" customHeight="1" s="30">
      <c r="A69" s="66" t="inlineStr">
        <is>
          <t>Series</t>
        </is>
      </c>
      <c r="B69" s="66" t="inlineStr">
        <is>
          <t>Description</t>
        </is>
      </c>
      <c r="C69" s="66" t="inlineStr">
        <is>
          <t>Model #</t>
        </is>
      </c>
      <c r="D69" s="66" t="inlineStr">
        <is>
          <t>BTU</t>
        </is>
      </c>
      <c r="E69" s="66" t="inlineStr">
        <is>
          <t>AFUE %</t>
        </is>
      </c>
      <c r="F69" s="66" t="inlineStr">
        <is>
          <t>Stage/Spd</t>
        </is>
      </c>
      <c r="G69" s="66" t="inlineStr">
        <is>
          <t>Price</t>
        </is>
      </c>
      <c r="H69" s="66" t="inlineStr">
        <is>
          <t>Notes</t>
        </is>
      </c>
    </row>
    <row r="70" ht="15" customHeight="1" s="30">
      <c r="A70" s="67" t="inlineStr">
        <is>
          <t>GR9S80 80%</t>
        </is>
      </c>
      <c r="B70" s="67" t="inlineStr">
        <is>
          <t>Single Stage Multi-Spd Upflow</t>
        </is>
      </c>
      <c r="C70" s="67" t="inlineStr">
        <is>
          <t>GR9S800403ANA*</t>
        </is>
      </c>
      <c r="D70" s="68" t="inlineStr">
        <is>
          <t>40k</t>
        </is>
      </c>
      <c r="E70" s="67" t="inlineStr">
        <is>
          <t>80%</t>
        </is>
      </c>
      <c r="F70" s="67" t="inlineStr">
        <is>
          <t>SS/MS</t>
        </is>
      </c>
      <c r="G70" s="68" t="inlineStr">
        <is>
          <t>$599</t>
        </is>
      </c>
      <c r="H70" s="67" t="inlineStr">
        <is>
          <t>R-32 compatible</t>
        </is>
      </c>
    </row>
    <row r="71" ht="15" customHeight="1" s="30">
      <c r="A71" s="69" t="inlineStr">
        <is>
          <t>GR9S80 80%</t>
        </is>
      </c>
      <c r="B71" s="69" t="inlineStr">
        <is>
          <t>Single Stage Multi-Spd Upflow</t>
        </is>
      </c>
      <c r="C71" s="69" t="inlineStr">
        <is>
          <t>GR9S800603ANA*</t>
        </is>
      </c>
      <c r="D71" s="70" t="inlineStr">
        <is>
          <t>60k</t>
        </is>
      </c>
      <c r="E71" s="69" t="inlineStr">
        <is>
          <t>80%</t>
        </is>
      </c>
      <c r="F71" s="69" t="inlineStr">
        <is>
          <t>SS/MS</t>
        </is>
      </c>
      <c r="G71" s="70" t="inlineStr">
        <is>
          <t>$640</t>
        </is>
      </c>
      <c r="H71" s="69" t="inlineStr"/>
    </row>
    <row r="72" ht="15" customHeight="1" s="30">
      <c r="A72" s="67" t="inlineStr">
        <is>
          <t>GR9S80 80%</t>
        </is>
      </c>
      <c r="B72" s="67" t="inlineStr">
        <is>
          <t>Single Stage Multi-Spd Upflow</t>
        </is>
      </c>
      <c r="C72" s="67" t="inlineStr">
        <is>
          <t>GR9S800603BNA*</t>
        </is>
      </c>
      <c r="D72" s="68" t="inlineStr">
        <is>
          <t>60k</t>
        </is>
      </c>
      <c r="E72" s="67" t="inlineStr">
        <is>
          <t>80%</t>
        </is>
      </c>
      <c r="F72" s="67" t="inlineStr">
        <is>
          <t>SS/MS</t>
        </is>
      </c>
      <c r="G72" s="68" t="inlineStr">
        <is>
          <t>$649</t>
        </is>
      </c>
      <c r="H72" s="67" t="inlineStr"/>
    </row>
    <row r="73" ht="15" customHeight="1" s="30">
      <c r="A73" s="69" t="inlineStr">
        <is>
          <t>GR9S80 80%</t>
        </is>
      </c>
      <c r="B73" s="69" t="inlineStr">
        <is>
          <t>Single Stage Multi-Spd Upflow</t>
        </is>
      </c>
      <c r="C73" s="69" t="inlineStr">
        <is>
          <t>GR9S800803BNA*</t>
        </is>
      </c>
      <c r="D73" s="70" t="inlineStr">
        <is>
          <t>80k</t>
        </is>
      </c>
      <c r="E73" s="69" t="inlineStr">
        <is>
          <t>80%</t>
        </is>
      </c>
      <c r="F73" s="69" t="inlineStr">
        <is>
          <t>SS/MS</t>
        </is>
      </c>
      <c r="G73" s="70" t="inlineStr">
        <is>
          <t>$673</t>
        </is>
      </c>
      <c r="H73" s="69" t="inlineStr"/>
    </row>
    <row r="74" ht="15" customHeight="1" s="30">
      <c r="A74" s="67" t="inlineStr">
        <is>
          <t>GR9S80 80%</t>
        </is>
      </c>
      <c r="B74" s="67" t="inlineStr">
        <is>
          <t>Single Stage Multi-Spd Upflow</t>
        </is>
      </c>
      <c r="C74" s="67" t="inlineStr">
        <is>
          <t>GR9S800805CNA*</t>
        </is>
      </c>
      <c r="D74" s="68" t="inlineStr">
        <is>
          <t>80k</t>
        </is>
      </c>
      <c r="E74" s="67" t="inlineStr">
        <is>
          <t>80%</t>
        </is>
      </c>
      <c r="F74" s="67" t="inlineStr">
        <is>
          <t>SS/MS</t>
        </is>
      </c>
      <c r="G74" s="68" t="inlineStr">
        <is>
          <t>$741</t>
        </is>
      </c>
      <c r="H74" s="67" t="inlineStr"/>
    </row>
    <row r="75" ht="15" customHeight="1" s="30">
      <c r="A75" s="69" t="inlineStr">
        <is>
          <t>GR9S80 80%</t>
        </is>
      </c>
      <c r="B75" s="69" t="inlineStr">
        <is>
          <t>Single Stage Multi-Spd Upflow</t>
        </is>
      </c>
      <c r="C75" s="69" t="inlineStr">
        <is>
          <t>GR9S801005CNA*</t>
        </is>
      </c>
      <c r="D75" s="70" t="inlineStr">
        <is>
          <t>100k</t>
        </is>
      </c>
      <c r="E75" s="69" t="inlineStr">
        <is>
          <t>80%</t>
        </is>
      </c>
      <c r="F75" s="69" t="inlineStr">
        <is>
          <t>SS/MS</t>
        </is>
      </c>
      <c r="G75" s="70" t="inlineStr">
        <is>
          <t>$789</t>
        </is>
      </c>
      <c r="H75" s="69" t="inlineStr"/>
    </row>
    <row r="76" ht="15" customHeight="1" s="30">
      <c r="A76" s="67" t="inlineStr">
        <is>
          <t>GR9S80 80%</t>
        </is>
      </c>
      <c r="B76" s="67" t="inlineStr">
        <is>
          <t>Single Stage Multi-Spd Upflow</t>
        </is>
      </c>
      <c r="C76" s="67" t="inlineStr">
        <is>
          <t>GR9S801205DNA*</t>
        </is>
      </c>
      <c r="D76" s="68" t="inlineStr">
        <is>
          <t>120k</t>
        </is>
      </c>
      <c r="E76" s="67" t="inlineStr">
        <is>
          <t>80%</t>
        </is>
      </c>
      <c r="F76" s="67" t="inlineStr">
        <is>
          <t>SS/MS</t>
        </is>
      </c>
      <c r="G76" s="68" t="inlineStr">
        <is>
          <t>$908</t>
        </is>
      </c>
      <c r="H76" s="67" t="inlineStr"/>
    </row>
    <row r="77" ht="15" customHeight="1" s="30">
      <c r="A77" s="69" t="inlineStr">
        <is>
          <t>GR9T80 80%</t>
        </is>
      </c>
      <c r="B77" s="69" t="inlineStr">
        <is>
          <t>Two Stage 9-Spd ECM Upflow</t>
        </is>
      </c>
      <c r="C77" s="69" t="inlineStr">
        <is>
          <t>GR9T800403ANA*</t>
        </is>
      </c>
      <c r="D77" s="70" t="inlineStr">
        <is>
          <t>40k</t>
        </is>
      </c>
      <c r="E77" s="69" t="inlineStr">
        <is>
          <t>80%</t>
        </is>
      </c>
      <c r="F77" s="69" t="inlineStr">
        <is>
          <t>2S/9S</t>
        </is>
      </c>
      <c r="G77" s="70" t="inlineStr">
        <is>
          <t>$690</t>
        </is>
      </c>
      <c r="H77" s="69" t="inlineStr"/>
    </row>
    <row r="78" ht="15" customHeight="1" s="30">
      <c r="A78" s="67" t="inlineStr">
        <is>
          <t>GR9T80 80%</t>
        </is>
      </c>
      <c r="B78" s="67" t="inlineStr">
        <is>
          <t>Two Stage 9-Spd ECM Upflow</t>
        </is>
      </c>
      <c r="C78" s="67" t="inlineStr">
        <is>
          <t>GR9T800603ANA*</t>
        </is>
      </c>
      <c r="D78" s="68" t="inlineStr">
        <is>
          <t>60k</t>
        </is>
      </c>
      <c r="E78" s="67" t="inlineStr">
        <is>
          <t>80%</t>
        </is>
      </c>
      <c r="F78" s="67" t="inlineStr">
        <is>
          <t>2S/9S</t>
        </is>
      </c>
      <c r="G78" s="68" t="inlineStr">
        <is>
          <t>$731</t>
        </is>
      </c>
      <c r="H78" s="67" t="inlineStr"/>
    </row>
    <row r="79" ht="15" customHeight="1" s="30">
      <c r="A79" s="69" t="inlineStr">
        <is>
          <t>GR9T80 80%</t>
        </is>
      </c>
      <c r="B79" s="69" t="inlineStr">
        <is>
          <t>Two Stage 9-Spd ECM Upflow</t>
        </is>
      </c>
      <c r="C79" s="69" t="inlineStr">
        <is>
          <t>GR9T800803BNA*</t>
        </is>
      </c>
      <c r="D79" s="70" t="inlineStr">
        <is>
          <t>80k</t>
        </is>
      </c>
      <c r="E79" s="69" t="inlineStr">
        <is>
          <t>80%</t>
        </is>
      </c>
      <c r="F79" s="69" t="inlineStr">
        <is>
          <t>2S/9S</t>
        </is>
      </c>
      <c r="G79" s="70" t="inlineStr">
        <is>
          <t>$765</t>
        </is>
      </c>
      <c r="H79" s="69" t="inlineStr"/>
    </row>
    <row r="80" ht="15" customHeight="1" s="30">
      <c r="A80" s="67" t="inlineStr">
        <is>
          <t>GR9T80 80%</t>
        </is>
      </c>
      <c r="B80" s="67" t="inlineStr">
        <is>
          <t>Two Stage 9-Spd ECM Upflow</t>
        </is>
      </c>
      <c r="C80" s="67" t="inlineStr">
        <is>
          <t>GR9T800804BNA*</t>
        </is>
      </c>
      <c r="D80" s="68" t="inlineStr">
        <is>
          <t>80k</t>
        </is>
      </c>
      <c r="E80" s="67" t="inlineStr">
        <is>
          <t>80%</t>
        </is>
      </c>
      <c r="F80" s="67" t="inlineStr">
        <is>
          <t>2S/9S</t>
        </is>
      </c>
      <c r="G80" s="68" t="inlineStr">
        <is>
          <t>$795</t>
        </is>
      </c>
      <c r="H80" s="67" t="inlineStr"/>
    </row>
    <row r="81" ht="15" customHeight="1" s="30">
      <c r="A81" s="69" t="inlineStr">
        <is>
          <t>GR9T80 80%</t>
        </is>
      </c>
      <c r="B81" s="69" t="inlineStr">
        <is>
          <t>Two Stage 9-Spd ECM Upflow</t>
        </is>
      </c>
      <c r="C81" s="69" t="inlineStr">
        <is>
          <t>GR9T800805CNA*</t>
        </is>
      </c>
      <c r="D81" s="70" t="inlineStr">
        <is>
          <t>80k</t>
        </is>
      </c>
      <c r="E81" s="69" t="inlineStr">
        <is>
          <t>80%</t>
        </is>
      </c>
      <c r="F81" s="69" t="inlineStr">
        <is>
          <t>2S/9S</t>
        </is>
      </c>
      <c r="G81" s="70" t="inlineStr">
        <is>
          <t>$820</t>
        </is>
      </c>
      <c r="H81" s="69" t="inlineStr"/>
    </row>
    <row r="82" ht="15" customHeight="1" s="30">
      <c r="A82" s="67" t="inlineStr">
        <is>
          <t>GR9T80 80%</t>
        </is>
      </c>
      <c r="B82" s="67" t="inlineStr">
        <is>
          <t>Two Stage 9-Spd ECM Upflow</t>
        </is>
      </c>
      <c r="C82" s="67" t="inlineStr">
        <is>
          <t>GR9T801005CNA*</t>
        </is>
      </c>
      <c r="D82" s="68" t="inlineStr">
        <is>
          <t>100k</t>
        </is>
      </c>
      <c r="E82" s="67" t="inlineStr">
        <is>
          <t>80%</t>
        </is>
      </c>
      <c r="F82" s="67" t="inlineStr">
        <is>
          <t>2S/9S</t>
        </is>
      </c>
      <c r="G82" s="68" t="inlineStr">
        <is>
          <t>$866</t>
        </is>
      </c>
      <c r="H82" s="67" t="inlineStr"/>
    </row>
    <row r="83" ht="15" customHeight="1" s="30">
      <c r="A83" s="69" t="inlineStr">
        <is>
          <t>GR9T80 80%</t>
        </is>
      </c>
      <c r="B83" s="69" t="inlineStr">
        <is>
          <t>Two Stage 9-Spd ECM Upflow</t>
        </is>
      </c>
      <c r="C83" s="69" t="inlineStr">
        <is>
          <t>GR9T801205DNA*</t>
        </is>
      </c>
      <c r="D83" s="70" t="inlineStr">
        <is>
          <t>120k</t>
        </is>
      </c>
      <c r="E83" s="69" t="inlineStr">
        <is>
          <t>80%</t>
        </is>
      </c>
      <c r="F83" s="69" t="inlineStr">
        <is>
          <t>2S/9S</t>
        </is>
      </c>
      <c r="G83" s="70" t="inlineStr">
        <is>
          <t>$978</t>
        </is>
      </c>
      <c r="H83" s="69" t="inlineStr"/>
    </row>
    <row r="84" ht="15" customHeight="1" s="30">
      <c r="A84" s="67" t="inlineStr">
        <is>
          <t>GRVT80 80%</t>
        </is>
      </c>
      <c r="B84" s="67" t="inlineStr">
        <is>
          <t>2-Stage VS Upflow/Horiz R-32</t>
        </is>
      </c>
      <c r="C84" s="67" t="inlineStr">
        <is>
          <t>GRVT800603BNA*</t>
        </is>
      </c>
      <c r="D84" s="68" t="inlineStr">
        <is>
          <t>60k</t>
        </is>
      </c>
      <c r="E84" s="67" t="inlineStr">
        <is>
          <t>80%</t>
        </is>
      </c>
      <c r="F84" s="67" t="inlineStr">
        <is>
          <t>2S/VS</t>
        </is>
      </c>
      <c r="G84" s="68" t="inlineStr">
        <is>
          <t>$1,032</t>
        </is>
      </c>
      <c r="H84" s="67" t="inlineStr">
        <is>
          <t>R-32 compatible</t>
        </is>
      </c>
    </row>
    <row r="85" ht="15" customHeight="1" s="30">
      <c r="A85" s="69" t="inlineStr">
        <is>
          <t>GRVT80 80%</t>
        </is>
      </c>
      <c r="B85" s="69" t="inlineStr">
        <is>
          <t>2-Stage VS Upflow/Horiz R-32</t>
        </is>
      </c>
      <c r="C85" s="69" t="inlineStr">
        <is>
          <t>GRVT800604BNA*</t>
        </is>
      </c>
      <c r="D85" s="70" t="inlineStr">
        <is>
          <t>60k</t>
        </is>
      </c>
      <c r="E85" s="69" t="inlineStr">
        <is>
          <t>80%</t>
        </is>
      </c>
      <c r="F85" s="69" t="inlineStr">
        <is>
          <t>2S/VS</t>
        </is>
      </c>
      <c r="G85" s="70" t="inlineStr">
        <is>
          <t>$1,126</t>
        </is>
      </c>
      <c r="H85" s="69" t="inlineStr"/>
    </row>
    <row r="86" ht="15" customHeight="1" s="30">
      <c r="A86" s="67" t="inlineStr">
        <is>
          <t>GR9S96 96%</t>
        </is>
      </c>
      <c r="B86" s="67" t="inlineStr">
        <is>
          <t>Single Stage Multi-Spd ECM</t>
        </is>
      </c>
      <c r="C86" s="67" t="inlineStr">
        <is>
          <t>GR9S960403ANA*</t>
        </is>
      </c>
      <c r="D86" s="68" t="inlineStr">
        <is>
          <t>40k</t>
        </is>
      </c>
      <c r="E86" s="67" t="inlineStr">
        <is>
          <t>96%</t>
        </is>
      </c>
      <c r="F86" s="67" t="inlineStr">
        <is>
          <t>SS/MS</t>
        </is>
      </c>
      <c r="G86" s="68" t="inlineStr">
        <is>
          <t>$916</t>
        </is>
      </c>
      <c r="H86" s="67" t="inlineStr"/>
    </row>
    <row r="87" ht="15" customHeight="1" s="30">
      <c r="A87" s="69" t="inlineStr">
        <is>
          <t>GR9S96 96%</t>
        </is>
      </c>
      <c r="B87" s="69" t="inlineStr">
        <is>
          <t>Single Stage Multi-Spd ECM</t>
        </is>
      </c>
      <c r="C87" s="69" t="inlineStr">
        <is>
          <t>GR9S960603BNA*</t>
        </is>
      </c>
      <c r="D87" s="70" t="inlineStr">
        <is>
          <t>60k</t>
        </is>
      </c>
      <c r="E87" s="69" t="inlineStr">
        <is>
          <t>96%</t>
        </is>
      </c>
      <c r="F87" s="69" t="inlineStr">
        <is>
          <t>SS/MS</t>
        </is>
      </c>
      <c r="G87" s="70" t="inlineStr">
        <is>
          <t>$983</t>
        </is>
      </c>
      <c r="H87" s="69" t="inlineStr"/>
    </row>
    <row r="88" ht="15" customHeight="1" s="30">
      <c r="A88" s="67" t="inlineStr">
        <is>
          <t>GR9S96 96%</t>
        </is>
      </c>
      <c r="B88" s="67" t="inlineStr">
        <is>
          <t>Single Stage Multi-Spd ECM</t>
        </is>
      </c>
      <c r="C88" s="67" t="inlineStr">
        <is>
          <t>GR9S960803BNA*</t>
        </is>
      </c>
      <c r="D88" s="68" t="inlineStr">
        <is>
          <t>80k</t>
        </is>
      </c>
      <c r="E88" s="67" t="inlineStr">
        <is>
          <t>96%</t>
        </is>
      </c>
      <c r="F88" s="67" t="inlineStr">
        <is>
          <t>SS/MS</t>
        </is>
      </c>
      <c r="G88" s="68" t="inlineStr">
        <is>
          <t>$1,040</t>
        </is>
      </c>
      <c r="H88" s="67" t="inlineStr"/>
    </row>
    <row r="89" ht="15" customHeight="1" s="30">
      <c r="A89" s="69" t="inlineStr">
        <is>
          <t>GR9S96 96%</t>
        </is>
      </c>
      <c r="B89" s="69" t="inlineStr">
        <is>
          <t>Single Stage Multi-Spd ECM</t>
        </is>
      </c>
      <c r="C89" s="69" t="inlineStr">
        <is>
          <t>GR9S961005CNA*</t>
        </is>
      </c>
      <c r="D89" s="70" t="inlineStr">
        <is>
          <t>100k</t>
        </is>
      </c>
      <c r="E89" s="69" t="inlineStr">
        <is>
          <t>96%</t>
        </is>
      </c>
      <c r="F89" s="69" t="inlineStr">
        <is>
          <t>SS/MS</t>
        </is>
      </c>
      <c r="G89" s="70" t="inlineStr">
        <is>
          <t>$1,248</t>
        </is>
      </c>
      <c r="H89" s="69" t="inlineStr"/>
    </row>
    <row r="90" ht="15" customHeight="1" s="30">
      <c r="A90" s="67" t="inlineStr">
        <is>
          <t>GR9S96 96%</t>
        </is>
      </c>
      <c r="B90" s="67" t="inlineStr">
        <is>
          <t>Single Stage Multi-Spd ECM</t>
        </is>
      </c>
      <c r="C90" s="67" t="inlineStr">
        <is>
          <t>GR9S961205DNA*</t>
        </is>
      </c>
      <c r="D90" s="68" t="inlineStr">
        <is>
          <t>120k</t>
        </is>
      </c>
      <c r="E90" s="67" t="inlineStr">
        <is>
          <t>96%</t>
        </is>
      </c>
      <c r="F90" s="67" t="inlineStr">
        <is>
          <t>SS/MS</t>
        </is>
      </c>
      <c r="G90" s="68" t="inlineStr">
        <is>
          <t>$1,350</t>
        </is>
      </c>
      <c r="H90" s="67" t="inlineStr"/>
    </row>
    <row r="91" ht="15" customHeight="1" s="30">
      <c r="A91" s="69" t="inlineStr">
        <is>
          <t>GR9T96 96%</t>
        </is>
      </c>
      <c r="B91" s="69" t="inlineStr">
        <is>
          <t>Two Stage Multi-Spd ECM</t>
        </is>
      </c>
      <c r="C91" s="69" t="inlineStr">
        <is>
          <t>GR9T960303ANA*</t>
        </is>
      </c>
      <c r="D91" s="70" t="inlineStr">
        <is>
          <t>30k</t>
        </is>
      </c>
      <c r="E91" s="69" t="inlineStr">
        <is>
          <t>96%</t>
        </is>
      </c>
      <c r="F91" s="69" t="inlineStr">
        <is>
          <t>2S/MS</t>
        </is>
      </c>
      <c r="G91" s="70" t="inlineStr">
        <is>
          <t>$947</t>
        </is>
      </c>
      <c r="H91" s="69" t="inlineStr"/>
    </row>
    <row r="92" ht="15" customHeight="1" s="30">
      <c r="A92" s="67" t="inlineStr">
        <is>
          <t>GR9T96 96%</t>
        </is>
      </c>
      <c r="B92" s="67" t="inlineStr">
        <is>
          <t>Two Stage Multi-Spd ECM</t>
        </is>
      </c>
      <c r="C92" s="67" t="inlineStr">
        <is>
          <t>GR9T960403ANA*</t>
        </is>
      </c>
      <c r="D92" s="68" t="inlineStr">
        <is>
          <t>40k</t>
        </is>
      </c>
      <c r="E92" s="67" t="inlineStr">
        <is>
          <t>96%</t>
        </is>
      </c>
      <c r="F92" s="67" t="inlineStr">
        <is>
          <t>2S/MS</t>
        </is>
      </c>
      <c r="G92" s="68" t="inlineStr">
        <is>
          <t>$983</t>
        </is>
      </c>
      <c r="H92" s="67" t="inlineStr"/>
    </row>
    <row r="93" ht="15" customHeight="1" s="30">
      <c r="A93" s="69" t="inlineStr">
        <is>
          <t>GR9T96 96%</t>
        </is>
      </c>
      <c r="B93" s="69" t="inlineStr">
        <is>
          <t>Two Stage Multi-Spd ECM</t>
        </is>
      </c>
      <c r="C93" s="69" t="inlineStr">
        <is>
          <t>GR9T960603BNA*</t>
        </is>
      </c>
      <c r="D93" s="70" t="inlineStr">
        <is>
          <t>60k</t>
        </is>
      </c>
      <c r="E93" s="69" t="inlineStr">
        <is>
          <t>96%</t>
        </is>
      </c>
      <c r="F93" s="69" t="inlineStr">
        <is>
          <t>2S/MS</t>
        </is>
      </c>
      <c r="G93" s="70" t="inlineStr">
        <is>
          <t>$1,056</t>
        </is>
      </c>
      <c r="H93" s="69" t="inlineStr"/>
    </row>
    <row r="94" ht="15" customHeight="1" s="30">
      <c r="A94" s="67" t="inlineStr">
        <is>
          <t>GR9T96 96%</t>
        </is>
      </c>
      <c r="B94" s="67" t="inlineStr">
        <is>
          <t>Two Stage Multi-Spd ECM</t>
        </is>
      </c>
      <c r="C94" s="67" t="inlineStr">
        <is>
          <t>GR9T960803BNA*</t>
        </is>
      </c>
      <c r="D94" s="68" t="inlineStr">
        <is>
          <t>80k</t>
        </is>
      </c>
      <c r="E94" s="67" t="inlineStr">
        <is>
          <t>96%</t>
        </is>
      </c>
      <c r="F94" s="67" t="inlineStr">
        <is>
          <t>2S/MS</t>
        </is>
      </c>
      <c r="G94" s="68" t="inlineStr">
        <is>
          <t>$1,229</t>
        </is>
      </c>
      <c r="H94" s="67" t="inlineStr"/>
    </row>
    <row r="95" ht="15" customHeight="1" s="30">
      <c r="A95" s="69" t="inlineStr">
        <is>
          <t>GR9T96 96%</t>
        </is>
      </c>
      <c r="B95" s="69" t="inlineStr">
        <is>
          <t>Two Stage Multi-Spd ECM</t>
        </is>
      </c>
      <c r="C95" s="69" t="inlineStr">
        <is>
          <t>GR9T961005CNA*</t>
        </is>
      </c>
      <c r="D95" s="70" t="inlineStr">
        <is>
          <t>100k</t>
        </is>
      </c>
      <c r="E95" s="69" t="inlineStr">
        <is>
          <t>96%</t>
        </is>
      </c>
      <c r="F95" s="69" t="inlineStr">
        <is>
          <t>2S/MS</t>
        </is>
      </c>
      <c r="G95" s="70" t="inlineStr">
        <is>
          <t>$1,349</t>
        </is>
      </c>
      <c r="H95" s="69" t="inlineStr"/>
    </row>
    <row r="96" ht="15" customHeight="1" s="30">
      <c r="A96" s="67" t="inlineStr">
        <is>
          <t>GR9T96 96%</t>
        </is>
      </c>
      <c r="B96" s="67" t="inlineStr">
        <is>
          <t>Two Stage Multi-Spd ECM</t>
        </is>
      </c>
      <c r="C96" s="67" t="inlineStr">
        <is>
          <t>GR9T961205DNA*</t>
        </is>
      </c>
      <c r="D96" s="68" t="inlineStr">
        <is>
          <t>120k</t>
        </is>
      </c>
      <c r="E96" s="67" t="inlineStr">
        <is>
          <t>96%</t>
        </is>
      </c>
      <c r="F96" s="67" t="inlineStr">
        <is>
          <t>2S/MS</t>
        </is>
      </c>
      <c r="G96" s="68" t="inlineStr">
        <is>
          <t>$1,377</t>
        </is>
      </c>
      <c r="H96" s="67" t="inlineStr"/>
    </row>
    <row r="97" ht="15" customHeight="1" s="30">
      <c r="A97" s="69" t="inlineStr">
        <is>
          <t>GRVT96 96%</t>
        </is>
      </c>
      <c r="B97" s="69" t="inlineStr">
        <is>
          <t>Two Stage VS ECM Upflow</t>
        </is>
      </c>
      <c r="C97" s="69" t="inlineStr">
        <is>
          <t>GRVT960403BNA*</t>
        </is>
      </c>
      <c r="D97" s="70" t="inlineStr">
        <is>
          <t>40k</t>
        </is>
      </c>
      <c r="E97" s="69" t="inlineStr">
        <is>
          <t>96%</t>
        </is>
      </c>
      <c r="F97" s="69" t="inlineStr">
        <is>
          <t>2S/VS</t>
        </is>
      </c>
      <c r="G97" s="70" t="inlineStr">
        <is>
          <t>$1,224</t>
        </is>
      </c>
      <c r="H97" s="69" t="inlineStr"/>
    </row>
    <row r="98" ht="15" customHeight="1" s="30">
      <c r="A98" s="67" t="inlineStr">
        <is>
          <t>GRVT96 96%</t>
        </is>
      </c>
      <c r="B98" s="67" t="inlineStr">
        <is>
          <t>Two Stage VS ECM Upflow</t>
        </is>
      </c>
      <c r="C98" s="67" t="inlineStr">
        <is>
          <t>GRVT960603BNA*</t>
        </is>
      </c>
      <c r="D98" s="68" t="inlineStr">
        <is>
          <t>60k</t>
        </is>
      </c>
      <c r="E98" s="67" t="inlineStr">
        <is>
          <t>96%</t>
        </is>
      </c>
      <c r="F98" s="67" t="inlineStr">
        <is>
          <t>2S/VS</t>
        </is>
      </c>
      <c r="G98" s="68" t="inlineStr">
        <is>
          <t>$1,270</t>
        </is>
      </c>
      <c r="H98" s="67" t="inlineStr"/>
    </row>
    <row r="99" ht="15" customHeight="1" s="30">
      <c r="A99" s="69" t="inlineStr">
        <is>
          <t>GRVT96 96%</t>
        </is>
      </c>
      <c r="B99" s="69" t="inlineStr">
        <is>
          <t>Two Stage VS ECM Upflow</t>
        </is>
      </c>
      <c r="C99" s="69" t="inlineStr">
        <is>
          <t>GRVT960803BNA*</t>
        </is>
      </c>
      <c r="D99" s="70" t="inlineStr">
        <is>
          <t>80k</t>
        </is>
      </c>
      <c r="E99" s="69" t="inlineStr">
        <is>
          <t>96%</t>
        </is>
      </c>
      <c r="F99" s="69" t="inlineStr">
        <is>
          <t>2S/VS</t>
        </is>
      </c>
      <c r="G99" s="70" t="inlineStr">
        <is>
          <t>$1,530</t>
        </is>
      </c>
      <c r="H99" s="69" t="inlineStr"/>
    </row>
    <row r="100" ht="15" customHeight="1" s="30">
      <c r="A100" s="67" t="inlineStr">
        <is>
          <t>GRVT96 96%</t>
        </is>
      </c>
      <c r="B100" s="67" t="inlineStr">
        <is>
          <t>Two Stage VS ECM Upflow</t>
        </is>
      </c>
      <c r="C100" s="67" t="inlineStr">
        <is>
          <t>GRVT961005CNA*</t>
        </is>
      </c>
      <c r="D100" s="68" t="inlineStr">
        <is>
          <t>100k</t>
        </is>
      </c>
      <c r="E100" s="67" t="inlineStr">
        <is>
          <t>96%</t>
        </is>
      </c>
      <c r="F100" s="67" t="inlineStr">
        <is>
          <t>2S/VS</t>
        </is>
      </c>
      <c r="G100" s="68" t="inlineStr">
        <is>
          <t>$1,679</t>
        </is>
      </c>
      <c r="H100" s="67" t="inlineStr"/>
    </row>
    <row r="101" ht="15" customHeight="1" s="30">
      <c r="A101" s="69" t="inlineStr">
        <is>
          <t>GRVT96 96%</t>
        </is>
      </c>
      <c r="B101" s="69" t="inlineStr">
        <is>
          <t>Two Stage VS ECM Upflow</t>
        </is>
      </c>
      <c r="C101" s="69" t="inlineStr">
        <is>
          <t>GRVT961205DNA*</t>
        </is>
      </c>
      <c r="D101" s="70" t="inlineStr">
        <is>
          <t>120k</t>
        </is>
      </c>
      <c r="E101" s="69" t="inlineStr">
        <is>
          <t>96%</t>
        </is>
      </c>
      <c r="F101" s="69" t="inlineStr">
        <is>
          <t>2S/VS</t>
        </is>
      </c>
      <c r="G101" s="70" t="inlineStr">
        <is>
          <t>$1,753</t>
        </is>
      </c>
      <c r="H101" s="69" t="inlineStr"/>
    </row>
    <row r="102" ht="15" customHeight="1" s="30">
      <c r="A102" s="67" t="inlineStr">
        <is>
          <t>GRVM97 97%</t>
        </is>
      </c>
      <c r="B102" s="67" t="inlineStr">
        <is>
          <t>Modulating VS ECM Upflow</t>
        </is>
      </c>
      <c r="C102" s="67" t="inlineStr">
        <is>
          <t>GRVM970603BNA*</t>
        </is>
      </c>
      <c r="D102" s="68" t="inlineStr">
        <is>
          <t>60k</t>
        </is>
      </c>
      <c r="E102" s="67" t="inlineStr">
        <is>
          <t>97%</t>
        </is>
      </c>
      <c r="F102" s="67" t="inlineStr">
        <is>
          <t>Mod/VS</t>
        </is>
      </c>
      <c r="G102" s="68" t="inlineStr">
        <is>
          <t>$1,476</t>
        </is>
      </c>
      <c r="H102" s="67" t="inlineStr"/>
    </row>
    <row r="103" ht="15" customHeight="1" s="30">
      <c r="A103" s="69" t="inlineStr">
        <is>
          <t>GRVM97 97%</t>
        </is>
      </c>
      <c r="B103" s="69" t="inlineStr">
        <is>
          <t>Modulating VS ECM Upflow</t>
        </is>
      </c>
      <c r="C103" s="69" t="inlineStr">
        <is>
          <t>GRVM970803BNA*</t>
        </is>
      </c>
      <c r="D103" s="70" t="inlineStr">
        <is>
          <t>80k</t>
        </is>
      </c>
      <c r="E103" s="69" t="inlineStr">
        <is>
          <t>97%</t>
        </is>
      </c>
      <c r="F103" s="69" t="inlineStr">
        <is>
          <t>Mod/VS</t>
        </is>
      </c>
      <c r="G103" s="70" t="inlineStr">
        <is>
          <t>$1,701</t>
        </is>
      </c>
      <c r="H103" s="69" t="inlineStr"/>
    </row>
    <row r="104" ht="15" customHeight="1" s="30">
      <c r="A104" s="67" t="inlineStr">
        <is>
          <t>GRVM97 97%</t>
        </is>
      </c>
      <c r="B104" s="67" t="inlineStr">
        <is>
          <t>Modulating VS ECM Upflow</t>
        </is>
      </c>
      <c r="C104" s="67" t="inlineStr">
        <is>
          <t>GRVM970804CNA*</t>
        </is>
      </c>
      <c r="D104" s="68" t="inlineStr">
        <is>
          <t>80k</t>
        </is>
      </c>
      <c r="E104" s="67" t="inlineStr">
        <is>
          <t>97%</t>
        </is>
      </c>
      <c r="F104" s="67" t="inlineStr">
        <is>
          <t>Mod/VS</t>
        </is>
      </c>
      <c r="G104" s="68" t="inlineStr">
        <is>
          <t>$1,725</t>
        </is>
      </c>
      <c r="H104" s="67" t="inlineStr">
        <is>
          <t>wide cab</t>
        </is>
      </c>
    </row>
    <row r="105" ht="15" customHeight="1" s="30">
      <c r="A105" s="69" t="inlineStr">
        <is>
          <t>GRVM97 97%</t>
        </is>
      </c>
      <c r="B105" s="69" t="inlineStr">
        <is>
          <t>Modulating VS ECM Upflow</t>
        </is>
      </c>
      <c r="C105" s="69" t="inlineStr">
        <is>
          <t>GRVM971005CNA*</t>
        </is>
      </c>
      <c r="D105" s="70" t="inlineStr">
        <is>
          <t>100k</t>
        </is>
      </c>
      <c r="E105" s="69" t="inlineStr">
        <is>
          <t>97%</t>
        </is>
      </c>
      <c r="F105" s="69" t="inlineStr">
        <is>
          <t>Mod/VS</t>
        </is>
      </c>
      <c r="G105" s="70" t="inlineStr">
        <is>
          <t>$1,864</t>
        </is>
      </c>
      <c r="H105" s="69" t="inlineStr"/>
    </row>
    <row r="106" ht="15" customHeight="1" s="30">
      <c r="A106" s="67" t="inlineStr">
        <is>
          <t>GRVM97 97%</t>
        </is>
      </c>
      <c r="B106" s="67" t="inlineStr">
        <is>
          <t>Modulating VS ECM Upflow</t>
        </is>
      </c>
      <c r="C106" s="67" t="inlineStr">
        <is>
          <t>GRVM971205DNA*</t>
        </is>
      </c>
      <c r="D106" s="68" t="inlineStr">
        <is>
          <t>120k</t>
        </is>
      </c>
      <c r="E106" s="67" t="inlineStr">
        <is>
          <t>97%</t>
        </is>
      </c>
      <c r="F106" s="67" t="inlineStr">
        <is>
          <t>Mod/VS</t>
        </is>
      </c>
      <c r="G106" s="68" t="inlineStr">
        <is>
          <t>$2,011</t>
        </is>
      </c>
      <c r="H106" s="67" t="inlineStr"/>
    </row>
    <row r="107" ht="15" customHeight="1" s="30"/>
    <row r="108" ht="15" customHeight="1" s="30">
      <c r="A108" s="63" t="inlineStr">
        <is>
          <t>GOODMAN AIR HANDLERS — R-32  (Source: Thermal Supply catalog 05/24/2026)</t>
        </is>
      </c>
      <c r="B108" s="64" t="n"/>
      <c r="C108" s="64" t="n"/>
      <c r="D108" s="64" t="n"/>
      <c r="E108" s="64" t="n"/>
      <c r="F108" s="64" t="n"/>
      <c r="G108" s="64" t="n"/>
      <c r="H108" s="65" t="n"/>
    </row>
    <row r="109" ht="15" customHeight="1" s="30">
      <c r="A109" s="66" t="inlineStr">
        <is>
          <t>Series</t>
        </is>
      </c>
      <c r="B109" s="66" t="inlineStr">
        <is>
          <t>Description</t>
        </is>
      </c>
      <c r="C109" s="66" t="inlineStr">
        <is>
          <t>Model #</t>
        </is>
      </c>
      <c r="D109" s="66" t="inlineStr">
        <is>
          <t>Tons</t>
        </is>
      </c>
      <c r="E109" s="66" t="inlineStr">
        <is>
          <t>Speed</t>
        </is>
      </c>
      <c r="F109" s="66" t="inlineStr">
        <is>
          <t>Refrig.</t>
        </is>
      </c>
      <c r="G109" s="66" t="inlineStr">
        <is>
          <t>Price</t>
        </is>
      </c>
      <c r="H109" s="66" t="inlineStr">
        <is>
          <t>Notes</t>
        </is>
      </c>
    </row>
    <row r="110" ht="15" customHeight="1" s="30">
      <c r="A110" s="67" t="inlineStr">
        <is>
          <t>AMST-R32</t>
        </is>
      </c>
      <c r="B110" s="67" t="inlineStr">
        <is>
          <t>Multi-Pos Multi-Spd ECM</t>
        </is>
      </c>
      <c r="C110" s="67" t="inlineStr">
        <is>
          <t>AMST24BU1300A*</t>
        </is>
      </c>
      <c r="D110" s="68" t="n">
        <v>2</v>
      </c>
      <c r="E110" s="67" t="inlineStr">
        <is>
          <t>MS</t>
        </is>
      </c>
      <c r="F110" s="67" t="inlineStr">
        <is>
          <t>R-32</t>
        </is>
      </c>
      <c r="G110" s="68" t="inlineStr">
        <is>
          <t>$795</t>
        </is>
      </c>
      <c r="H110" s="67" t="inlineStr"/>
    </row>
    <row r="111" ht="15" customHeight="1" s="30">
      <c r="A111" s="69" t="inlineStr">
        <is>
          <t>AMST-R32</t>
        </is>
      </c>
      <c r="B111" s="69" t="inlineStr">
        <is>
          <t>Multi-Pos Multi-Spd ECM</t>
        </is>
      </c>
      <c r="C111" s="69" t="inlineStr">
        <is>
          <t>AMST30BU1300A*</t>
        </is>
      </c>
      <c r="D111" s="70" t="n">
        <v>2.5</v>
      </c>
      <c r="E111" s="69" t="inlineStr">
        <is>
          <t>MS</t>
        </is>
      </c>
      <c r="F111" s="69" t="inlineStr">
        <is>
          <t>R-32</t>
        </is>
      </c>
      <c r="G111" s="70" t="inlineStr">
        <is>
          <t>$827</t>
        </is>
      </c>
      <c r="H111" s="69" t="inlineStr"/>
    </row>
    <row r="112" ht="15" customHeight="1" s="30">
      <c r="A112" s="67" t="inlineStr">
        <is>
          <t>AMST-R32</t>
        </is>
      </c>
      <c r="B112" s="67" t="inlineStr">
        <is>
          <t>Multi-Pos Multi-Spd ECM</t>
        </is>
      </c>
      <c r="C112" s="67" t="inlineStr">
        <is>
          <t>AMST36BU1300A*</t>
        </is>
      </c>
      <c r="D112" s="68" t="n">
        <v>3</v>
      </c>
      <c r="E112" s="67" t="inlineStr">
        <is>
          <t>MS</t>
        </is>
      </c>
      <c r="F112" s="67" t="inlineStr">
        <is>
          <t>R-32</t>
        </is>
      </c>
      <c r="G112" s="68" t="inlineStr">
        <is>
          <t>$881</t>
        </is>
      </c>
      <c r="H112" s="67" t="inlineStr"/>
    </row>
    <row r="113" ht="15" customHeight="1" s="30">
      <c r="A113" s="69" t="inlineStr">
        <is>
          <t>AMST-R32</t>
        </is>
      </c>
      <c r="B113" s="69" t="inlineStr">
        <is>
          <t>Multi-Pos Multi-Spd ECM</t>
        </is>
      </c>
      <c r="C113" s="69" t="inlineStr">
        <is>
          <t>AMST36CU1300A*</t>
        </is>
      </c>
      <c r="D113" s="70" t="n">
        <v>3</v>
      </c>
      <c r="E113" s="69" t="inlineStr">
        <is>
          <t>MS</t>
        </is>
      </c>
      <c r="F113" s="69" t="inlineStr">
        <is>
          <t>R-32</t>
        </is>
      </c>
      <c r="G113" s="70" t="inlineStr">
        <is>
          <t>$901</t>
        </is>
      </c>
      <c r="H113" s="69" t="inlineStr">
        <is>
          <t>wide</t>
        </is>
      </c>
    </row>
    <row r="114" ht="15" customHeight="1" s="30">
      <c r="A114" s="67" t="inlineStr">
        <is>
          <t>AMST-R32</t>
        </is>
      </c>
      <c r="B114" s="67" t="inlineStr">
        <is>
          <t>Multi-Pos Multi-Spd ECM</t>
        </is>
      </c>
      <c r="C114" s="67" t="inlineStr">
        <is>
          <t>AMST42CU1300A*</t>
        </is>
      </c>
      <c r="D114" s="68" t="n">
        <v>3.5</v>
      </c>
      <c r="E114" s="67" t="inlineStr">
        <is>
          <t>MS</t>
        </is>
      </c>
      <c r="F114" s="67" t="inlineStr">
        <is>
          <t>R-32</t>
        </is>
      </c>
      <c r="G114" s="68" t="inlineStr">
        <is>
          <t>$932</t>
        </is>
      </c>
      <c r="H114" s="67" t="inlineStr"/>
    </row>
    <row r="115" ht="15" customHeight="1" s="30">
      <c r="A115" s="69" t="inlineStr">
        <is>
          <t>AMST-R32</t>
        </is>
      </c>
      <c r="B115" s="69" t="inlineStr">
        <is>
          <t>Multi-Pos Multi-Spd ECM</t>
        </is>
      </c>
      <c r="C115" s="69" t="inlineStr">
        <is>
          <t>AMST48CU1300A*</t>
        </is>
      </c>
      <c r="D115" s="70" t="n">
        <v>4</v>
      </c>
      <c r="E115" s="69" t="inlineStr">
        <is>
          <t>MS</t>
        </is>
      </c>
      <c r="F115" s="69" t="inlineStr">
        <is>
          <t>R-32</t>
        </is>
      </c>
      <c r="G115" s="70" t="inlineStr">
        <is>
          <t>$961</t>
        </is>
      </c>
      <c r="H115" s="69" t="inlineStr"/>
    </row>
    <row r="116" ht="15" customHeight="1" s="30">
      <c r="A116" s="67" t="inlineStr">
        <is>
          <t>AMST-R32</t>
        </is>
      </c>
      <c r="B116" s="67" t="inlineStr">
        <is>
          <t>Multi-Pos Multi-Spd ECM</t>
        </is>
      </c>
      <c r="C116" s="67" t="inlineStr">
        <is>
          <t>AMST60DU1300A*</t>
        </is>
      </c>
      <c r="D116" s="68" t="n">
        <v>5</v>
      </c>
      <c r="E116" s="67" t="inlineStr">
        <is>
          <t>MS</t>
        </is>
      </c>
      <c r="F116" s="67" t="inlineStr">
        <is>
          <t>R-32</t>
        </is>
      </c>
      <c r="G116" s="68" t="inlineStr">
        <is>
          <t>$1,086</t>
        </is>
      </c>
      <c r="H116" s="67" t="inlineStr"/>
    </row>
    <row r="117" ht="15" customHeight="1" s="30">
      <c r="A117" s="69" t="inlineStr">
        <is>
          <t>AMVT-R32</t>
        </is>
      </c>
      <c r="B117" s="69" t="inlineStr">
        <is>
          <t>Var Spd Multi-Pos TXV ECM</t>
        </is>
      </c>
      <c r="C117" s="69" t="inlineStr">
        <is>
          <t>AMVT24BP1300A*</t>
        </is>
      </c>
      <c r="D117" s="70" t="n">
        <v>2</v>
      </c>
      <c r="E117" s="69" t="inlineStr">
        <is>
          <t>VS</t>
        </is>
      </c>
      <c r="F117" s="69" t="inlineStr">
        <is>
          <t>R-32</t>
        </is>
      </c>
      <c r="G117" s="70" t="inlineStr">
        <is>
          <t>$1,001</t>
        </is>
      </c>
      <c r="H117" s="69" t="inlineStr"/>
    </row>
    <row r="118" ht="15" customHeight="1" s="30">
      <c r="A118" s="67" t="inlineStr">
        <is>
          <t>AMVT-R32</t>
        </is>
      </c>
      <c r="B118" s="67" t="inlineStr">
        <is>
          <t>Var Spd Multi-Pos TXV ECM</t>
        </is>
      </c>
      <c r="C118" s="67" t="inlineStr">
        <is>
          <t>AMVT30BP1300A*</t>
        </is>
      </c>
      <c r="D118" s="68" t="n">
        <v>2.5</v>
      </c>
      <c r="E118" s="67" t="inlineStr">
        <is>
          <t>VS</t>
        </is>
      </c>
      <c r="F118" s="67" t="inlineStr">
        <is>
          <t>R-32</t>
        </is>
      </c>
      <c r="G118" s="68" t="inlineStr">
        <is>
          <t>$1,047</t>
        </is>
      </c>
      <c r="H118" s="67" t="inlineStr"/>
    </row>
    <row r="119" ht="15" customHeight="1" s="30">
      <c r="A119" s="69" t="inlineStr">
        <is>
          <t>AMVT-R32</t>
        </is>
      </c>
      <c r="B119" s="69" t="inlineStr">
        <is>
          <t>Var Spd Multi-Pos TXV ECM</t>
        </is>
      </c>
      <c r="C119" s="69" t="inlineStr">
        <is>
          <t>AMVT36BP1300A*</t>
        </is>
      </c>
      <c r="D119" s="70" t="n">
        <v>3</v>
      </c>
      <c r="E119" s="69" t="inlineStr">
        <is>
          <t>VS</t>
        </is>
      </c>
      <c r="F119" s="69" t="inlineStr">
        <is>
          <t>R-32</t>
        </is>
      </c>
      <c r="G119" s="70" t="inlineStr">
        <is>
          <t>$1,075</t>
        </is>
      </c>
      <c r="H119" s="69" t="inlineStr"/>
    </row>
    <row r="120" ht="15" customHeight="1" s="30">
      <c r="A120" s="67" t="inlineStr">
        <is>
          <t>AMVT-R32</t>
        </is>
      </c>
      <c r="B120" s="67" t="inlineStr">
        <is>
          <t>Var Spd Multi-Pos TXV ECM</t>
        </is>
      </c>
      <c r="C120" s="67" t="inlineStr">
        <is>
          <t>AMVT36CP1300A*</t>
        </is>
      </c>
      <c r="D120" s="68" t="n">
        <v>3</v>
      </c>
      <c r="E120" s="67" t="inlineStr">
        <is>
          <t>VS</t>
        </is>
      </c>
      <c r="F120" s="67" t="inlineStr">
        <is>
          <t>R-32</t>
        </is>
      </c>
      <c r="G120" s="68" t="inlineStr">
        <is>
          <t>$1,091</t>
        </is>
      </c>
      <c r="H120" s="67" t="inlineStr">
        <is>
          <t>wide</t>
        </is>
      </c>
    </row>
    <row r="121" ht="15" customHeight="1" s="30">
      <c r="A121" s="69" t="inlineStr">
        <is>
          <t>AMVT-R32</t>
        </is>
      </c>
      <c r="B121" s="69" t="inlineStr">
        <is>
          <t>Var Spd Multi-Pos TXV ECM</t>
        </is>
      </c>
      <c r="C121" s="69" t="inlineStr">
        <is>
          <t>AMVT42CP1300A*</t>
        </is>
      </c>
      <c r="D121" s="70" t="n">
        <v>3.5</v>
      </c>
      <c r="E121" s="69" t="inlineStr">
        <is>
          <t>VS</t>
        </is>
      </c>
      <c r="F121" s="69" t="inlineStr">
        <is>
          <t>R-32</t>
        </is>
      </c>
      <c r="G121" s="70" t="inlineStr">
        <is>
          <t>$1,149</t>
        </is>
      </c>
      <c r="H121" s="69" t="inlineStr"/>
    </row>
    <row r="122" ht="15" customHeight="1" s="30">
      <c r="A122" s="67" t="inlineStr">
        <is>
          <t>AMVT-R32</t>
        </is>
      </c>
      <c r="B122" s="67" t="inlineStr">
        <is>
          <t>Var Spd Multi-Pos TXV ECM</t>
        </is>
      </c>
      <c r="C122" s="67" t="inlineStr">
        <is>
          <t>AMVT48CP1300A*</t>
        </is>
      </c>
      <c r="D122" s="68" t="n">
        <v>4</v>
      </c>
      <c r="E122" s="67" t="inlineStr">
        <is>
          <t>VS</t>
        </is>
      </c>
      <c r="F122" s="67" t="inlineStr">
        <is>
          <t>R-32</t>
        </is>
      </c>
      <c r="G122" s="68" t="inlineStr">
        <is>
          <t>$1,286</t>
        </is>
      </c>
      <c r="H122" s="67" t="inlineStr"/>
    </row>
    <row r="123" ht="15" customHeight="1" s="30">
      <c r="A123" s="69" t="inlineStr">
        <is>
          <t>AMVT-R32</t>
        </is>
      </c>
      <c r="B123" s="69" t="inlineStr">
        <is>
          <t>Var Spd Multi-Pos TXV ECM</t>
        </is>
      </c>
      <c r="C123" s="69" t="inlineStr">
        <is>
          <t>AMVT60DP1300A*</t>
        </is>
      </c>
      <c r="D123" s="70" t="n">
        <v>5</v>
      </c>
      <c r="E123" s="69" t="inlineStr">
        <is>
          <t>VS</t>
        </is>
      </c>
      <c r="F123" s="69" t="inlineStr">
        <is>
          <t>R-32</t>
        </is>
      </c>
      <c r="G123" s="70" t="inlineStr">
        <is>
          <t>$1,299</t>
        </is>
      </c>
      <c r="H123" s="69" t="inlineStr"/>
    </row>
    <row r="124" ht="15" customHeight="1" s="30">
      <c r="A124" s="67" t="inlineStr">
        <is>
          <t>AHVE-R32</t>
        </is>
      </c>
      <c r="B124" s="67" t="inlineStr">
        <is>
          <t>VS Comm AH S-Series matchup</t>
        </is>
      </c>
      <c r="C124" s="67" t="inlineStr">
        <is>
          <t>AHVE24BP1300A*</t>
        </is>
      </c>
      <c r="D124" s="68" t="n">
        <v>2</v>
      </c>
      <c r="E124" s="67" t="inlineStr">
        <is>
          <t>VS</t>
        </is>
      </c>
      <c r="F124" s="67" t="inlineStr">
        <is>
          <t>R-32</t>
        </is>
      </c>
      <c r="G124" s="68" t="inlineStr">
        <is>
          <t>$1,023</t>
        </is>
      </c>
      <c r="H124" s="67" t="inlineStr">
        <is>
          <t>communicating</t>
        </is>
      </c>
    </row>
    <row r="125" ht="15" customHeight="1" s="30">
      <c r="A125" s="69" t="inlineStr">
        <is>
          <t>AHVE-R32</t>
        </is>
      </c>
      <c r="B125" s="69" t="inlineStr">
        <is>
          <t>VS Comm AH S-Series matchup</t>
        </is>
      </c>
      <c r="C125" s="69" t="inlineStr">
        <is>
          <t>AHVE36CP1300A*</t>
        </is>
      </c>
      <c r="D125" s="70" t="n">
        <v>3</v>
      </c>
      <c r="E125" s="69" t="inlineStr">
        <is>
          <t>VS</t>
        </is>
      </c>
      <c r="F125" s="69" t="inlineStr">
        <is>
          <t>R-32</t>
        </is>
      </c>
      <c r="G125" s="70" t="inlineStr">
        <is>
          <t>$1,141</t>
        </is>
      </c>
      <c r="H125" s="69" t="inlineStr">
        <is>
          <t>communicating</t>
        </is>
      </c>
    </row>
    <row r="126" ht="15" customHeight="1" s="30">
      <c r="A126" s="67" t="inlineStr">
        <is>
          <t>AHVE-R32</t>
        </is>
      </c>
      <c r="B126" s="67" t="inlineStr">
        <is>
          <t>VS Comm AH S-Series matchup</t>
        </is>
      </c>
      <c r="C126" s="67" t="inlineStr">
        <is>
          <t>AHVE42CP1300A*</t>
        </is>
      </c>
      <c r="D126" s="68" t="n">
        <v>3.5</v>
      </c>
      <c r="E126" s="67" t="inlineStr">
        <is>
          <t>VS</t>
        </is>
      </c>
      <c r="F126" s="67" t="inlineStr">
        <is>
          <t>R-32</t>
        </is>
      </c>
      <c r="G126" s="68" t="inlineStr">
        <is>
          <t>$1,183</t>
        </is>
      </c>
      <c r="H126" s="67" t="inlineStr">
        <is>
          <t>communicating</t>
        </is>
      </c>
    </row>
    <row r="127" ht="15" customHeight="1" s="30">
      <c r="A127" s="69" t="inlineStr">
        <is>
          <t>AHVE-R32</t>
        </is>
      </c>
      <c r="B127" s="69" t="inlineStr">
        <is>
          <t>VS Comm AH S-Series matchup</t>
        </is>
      </c>
      <c r="C127" s="69" t="inlineStr">
        <is>
          <t>AHVE48CP1300A*</t>
        </is>
      </c>
      <c r="D127" s="70" t="n">
        <v>4</v>
      </c>
      <c r="E127" s="69" t="inlineStr">
        <is>
          <t>VS</t>
        </is>
      </c>
      <c r="F127" s="69" t="inlineStr">
        <is>
          <t>R-32</t>
        </is>
      </c>
      <c r="G127" s="70" t="inlineStr">
        <is>
          <t>$1,193</t>
        </is>
      </c>
      <c r="H127" s="69" t="inlineStr">
        <is>
          <t>communicating</t>
        </is>
      </c>
    </row>
    <row r="128" ht="15" customHeight="1" s="30">
      <c r="A128" s="67" t="inlineStr">
        <is>
          <t>AHVE-R32</t>
        </is>
      </c>
      <c r="B128" s="67" t="inlineStr">
        <is>
          <t>VS Comm AH S-Series matchup</t>
        </is>
      </c>
      <c r="C128" s="67" t="inlineStr">
        <is>
          <t>AHVE60DP1300A*</t>
        </is>
      </c>
      <c r="D128" s="68" t="n">
        <v>5</v>
      </c>
      <c r="E128" s="67" t="inlineStr">
        <is>
          <t>VS</t>
        </is>
      </c>
      <c r="F128" s="67" t="inlineStr">
        <is>
          <t>R-32</t>
        </is>
      </c>
      <c r="G128" s="68" t="inlineStr">
        <is>
          <t>$1,257</t>
        </is>
      </c>
      <c r="H128" s="67" t="inlineStr">
        <is>
          <t>communicating</t>
        </is>
      </c>
    </row>
    <row r="129" ht="15" customHeight="1" s="30"/>
    <row r="130" ht="15" customHeight="1" s="30">
      <c r="A130" s="63" t="inlineStr">
        <is>
          <t>GOODMAN EVAPORATOR COILS — R-32  (Source: Thermal Supply catalog 05/24/2026)</t>
        </is>
      </c>
      <c r="B130" s="64" t="n"/>
      <c r="C130" s="64" t="n"/>
      <c r="D130" s="64" t="n"/>
      <c r="E130" s="64" t="n"/>
      <c r="F130" s="64" t="n"/>
      <c r="G130" s="64" t="n"/>
      <c r="H130" s="65" t="n"/>
    </row>
    <row r="131" ht="15" customHeight="1" s="30">
      <c r="A131" s="66" t="inlineStr">
        <is>
          <t>Series</t>
        </is>
      </c>
      <c r="B131" s="66" t="inlineStr">
        <is>
          <t>Type</t>
        </is>
      </c>
      <c r="C131" s="66" t="inlineStr">
        <is>
          <t>Model #</t>
        </is>
      </c>
      <c r="D131" s="66" t="inlineStr">
        <is>
          <t>Tons</t>
        </is>
      </c>
      <c r="E131" s="66" t="inlineStr">
        <is>
          <t>Valve</t>
        </is>
      </c>
      <c r="F131" s="66" t="inlineStr">
        <is>
          <t>Refrig.</t>
        </is>
      </c>
      <c r="G131" s="66" t="inlineStr">
        <is>
          <t>Price</t>
        </is>
      </c>
      <c r="H131" s="66" t="inlineStr">
        <is>
          <t>Cabinet</t>
        </is>
      </c>
    </row>
    <row r="132" ht="15" customHeight="1" s="30">
      <c r="A132" s="67" t="inlineStr">
        <is>
          <t>CAPEA-R32</t>
        </is>
      </c>
      <c r="B132" s="67" t="inlineStr">
        <is>
          <t>Cased UD w/ EEV R-32</t>
        </is>
      </c>
      <c r="C132" s="67" t="inlineStr">
        <is>
          <t>CAPEA2418B3A*</t>
        </is>
      </c>
      <c r="D132" s="68" t="n">
        <v>2</v>
      </c>
      <c r="E132" s="67" t="inlineStr">
        <is>
          <t>EEV</t>
        </is>
      </c>
      <c r="F132" s="67" t="inlineStr">
        <is>
          <t>R-32</t>
        </is>
      </c>
      <c r="G132" s="68" t="inlineStr">
        <is>
          <t>$391</t>
        </is>
      </c>
      <c r="H132" s="67" t="inlineStr">
        <is>
          <t>17.5" wide</t>
        </is>
      </c>
    </row>
    <row r="133" ht="15" customHeight="1" s="30">
      <c r="A133" s="69" t="inlineStr">
        <is>
          <t>CAPEA-R32</t>
        </is>
      </c>
      <c r="B133" s="69" t="inlineStr">
        <is>
          <t>Cased UD w/ EEV R-32</t>
        </is>
      </c>
      <c r="C133" s="69" t="inlineStr">
        <is>
          <t>CAPEA2418C3A*</t>
        </is>
      </c>
      <c r="D133" s="70" t="n">
        <v>2</v>
      </c>
      <c r="E133" s="69" t="inlineStr">
        <is>
          <t>EEV</t>
        </is>
      </c>
      <c r="F133" s="69" t="inlineStr">
        <is>
          <t>R-32</t>
        </is>
      </c>
      <c r="G133" s="70" t="inlineStr">
        <is>
          <t>$396</t>
        </is>
      </c>
      <c r="H133" s="69" t="inlineStr">
        <is>
          <t>21" wide</t>
        </is>
      </c>
    </row>
    <row r="134" ht="15" customHeight="1" s="30">
      <c r="A134" s="67" t="inlineStr">
        <is>
          <t>CAPEA-R32</t>
        </is>
      </c>
      <c r="B134" s="67" t="inlineStr">
        <is>
          <t>Cased UD w/ EEV R-32</t>
        </is>
      </c>
      <c r="C134" s="67" t="inlineStr">
        <is>
          <t>CAPEA3022B3A*</t>
        </is>
      </c>
      <c r="D134" s="68" t="n">
        <v>2.5</v>
      </c>
      <c r="E134" s="67" t="inlineStr">
        <is>
          <t>EEV</t>
        </is>
      </c>
      <c r="F134" s="67" t="inlineStr">
        <is>
          <t>R-32</t>
        </is>
      </c>
      <c r="G134" s="68" t="inlineStr">
        <is>
          <t>$428</t>
        </is>
      </c>
      <c r="H134" s="67" t="inlineStr">
        <is>
          <t>17.5" wide</t>
        </is>
      </c>
    </row>
    <row r="135" ht="15" customHeight="1" s="30">
      <c r="A135" s="69" t="inlineStr">
        <is>
          <t>CAPEA-R32</t>
        </is>
      </c>
      <c r="B135" s="69" t="inlineStr">
        <is>
          <t>Cased UD w/ EEV R-32</t>
        </is>
      </c>
      <c r="C135" s="69" t="inlineStr">
        <is>
          <t>CAPEA3022C3A*</t>
        </is>
      </c>
      <c r="D135" s="70" t="n">
        <v>2.5</v>
      </c>
      <c r="E135" s="69" t="inlineStr">
        <is>
          <t>EEV</t>
        </is>
      </c>
      <c r="F135" s="69" t="inlineStr">
        <is>
          <t>R-32</t>
        </is>
      </c>
      <c r="G135" s="70" t="inlineStr">
        <is>
          <t>$439</t>
        </is>
      </c>
      <c r="H135" s="69" t="inlineStr">
        <is>
          <t>21" wide</t>
        </is>
      </c>
    </row>
    <row r="136" ht="15" customHeight="1" s="30">
      <c r="A136" s="67" t="inlineStr">
        <is>
          <t>CAPEA-R32</t>
        </is>
      </c>
      <c r="B136" s="67" t="inlineStr">
        <is>
          <t>Cased UD w/ EEV R-32</t>
        </is>
      </c>
      <c r="C136" s="67" t="inlineStr">
        <is>
          <t>CAPEA3626B3A*</t>
        </is>
      </c>
      <c r="D136" s="68" t="n">
        <v>3</v>
      </c>
      <c r="E136" s="67" t="inlineStr">
        <is>
          <t>EEV</t>
        </is>
      </c>
      <c r="F136" s="67" t="inlineStr">
        <is>
          <t>R-32</t>
        </is>
      </c>
      <c r="G136" s="68" t="inlineStr">
        <is>
          <t>$458</t>
        </is>
      </c>
      <c r="H136" s="67" t="inlineStr">
        <is>
          <t>17.5" wide</t>
        </is>
      </c>
    </row>
    <row r="137" ht="15" customHeight="1" s="30">
      <c r="A137" s="69" t="inlineStr">
        <is>
          <t>CAPEA-R32</t>
        </is>
      </c>
      <c r="B137" s="69" t="inlineStr">
        <is>
          <t>Cased UD w/ EEV R-32</t>
        </is>
      </c>
      <c r="C137" s="69" t="inlineStr">
        <is>
          <t>CAPEA3626C3A*</t>
        </is>
      </c>
      <c r="D137" s="70" t="n">
        <v>3</v>
      </c>
      <c r="E137" s="69" t="inlineStr">
        <is>
          <t>EEV</t>
        </is>
      </c>
      <c r="F137" s="69" t="inlineStr">
        <is>
          <t>R-32</t>
        </is>
      </c>
      <c r="G137" s="70" t="inlineStr">
        <is>
          <t>$472</t>
        </is>
      </c>
      <c r="H137" s="69" t="inlineStr">
        <is>
          <t>21" wide</t>
        </is>
      </c>
    </row>
    <row r="138" ht="15" customHeight="1" s="30">
      <c r="A138" s="67" t="inlineStr">
        <is>
          <t>CAPEA-R32</t>
        </is>
      </c>
      <c r="B138" s="67" t="inlineStr">
        <is>
          <t>Cased UD w/ EEV R-32</t>
        </is>
      </c>
      <c r="C138" s="67" t="inlineStr">
        <is>
          <t>CAPEA3626D3A*</t>
        </is>
      </c>
      <c r="D138" s="68" t="n">
        <v>3</v>
      </c>
      <c r="E138" s="67" t="inlineStr">
        <is>
          <t>EEV</t>
        </is>
      </c>
      <c r="F138" s="67" t="inlineStr">
        <is>
          <t>R-32</t>
        </is>
      </c>
      <c r="G138" s="68" t="inlineStr">
        <is>
          <t>$477</t>
        </is>
      </c>
      <c r="H138" s="67" t="inlineStr">
        <is>
          <t>24.5" wide</t>
        </is>
      </c>
    </row>
    <row r="139" ht="15" customHeight="1" s="30">
      <c r="A139" s="69" t="inlineStr">
        <is>
          <t>CAPEA-R32</t>
        </is>
      </c>
      <c r="B139" s="69" t="inlineStr">
        <is>
          <t>Cased UD w/ EEV R-32</t>
        </is>
      </c>
      <c r="C139" s="69" t="inlineStr">
        <is>
          <t>CAPEA4830C3A*</t>
        </is>
      </c>
      <c r="D139" s="70" t="n">
        <v>4</v>
      </c>
      <c r="E139" s="69" t="inlineStr">
        <is>
          <t>EEV</t>
        </is>
      </c>
      <c r="F139" s="69" t="inlineStr">
        <is>
          <t>R-32</t>
        </is>
      </c>
      <c r="G139" s="70" t="inlineStr">
        <is>
          <t>$505</t>
        </is>
      </c>
      <c r="H139" s="69" t="inlineStr">
        <is>
          <t>21" wide</t>
        </is>
      </c>
    </row>
    <row r="140" ht="15" customHeight="1" s="30">
      <c r="A140" s="67" t="inlineStr">
        <is>
          <t>CAPEA-R32</t>
        </is>
      </c>
      <c r="B140" s="67" t="inlineStr">
        <is>
          <t>Cased UD w/ EEV R-32</t>
        </is>
      </c>
      <c r="C140" s="67" t="inlineStr">
        <is>
          <t>CAPEA4830D3A*</t>
        </is>
      </c>
      <c r="D140" s="68" t="n">
        <v>4</v>
      </c>
      <c r="E140" s="67" t="inlineStr">
        <is>
          <t>EEV</t>
        </is>
      </c>
      <c r="F140" s="67" t="inlineStr">
        <is>
          <t>R-32</t>
        </is>
      </c>
      <c r="G140" s="68" t="inlineStr">
        <is>
          <t>$512</t>
        </is>
      </c>
      <c r="H140" s="67" t="inlineStr">
        <is>
          <t>24.5" wide</t>
        </is>
      </c>
    </row>
    <row r="141" ht="15" customHeight="1" s="30">
      <c r="A141" s="69" t="inlineStr">
        <is>
          <t>CAPEA-R32</t>
        </is>
      </c>
      <c r="B141" s="69" t="inlineStr">
        <is>
          <t>Cased UD w/ EEV R-32</t>
        </is>
      </c>
      <c r="C141" s="69" t="inlineStr">
        <is>
          <t>CAPEA6030C3A*</t>
        </is>
      </c>
      <c r="D141" s="70" t="n">
        <v>5</v>
      </c>
      <c r="E141" s="69" t="inlineStr">
        <is>
          <t>EEV</t>
        </is>
      </c>
      <c r="F141" s="69" t="inlineStr">
        <is>
          <t>R-32</t>
        </is>
      </c>
      <c r="G141" s="70" t="inlineStr">
        <is>
          <t>$522</t>
        </is>
      </c>
      <c r="H141" s="69" t="inlineStr">
        <is>
          <t>21" wide</t>
        </is>
      </c>
    </row>
    <row r="142" ht="15" customHeight="1" s="30">
      <c r="A142" s="67" t="inlineStr">
        <is>
          <t>CAPEA-R32</t>
        </is>
      </c>
      <c r="B142" s="67" t="inlineStr">
        <is>
          <t>Cased UD w/ EEV R-32</t>
        </is>
      </c>
      <c r="C142" s="67" t="inlineStr">
        <is>
          <t>CAPEA6030D3A*</t>
        </is>
      </c>
      <c r="D142" s="68" t="n">
        <v>5</v>
      </c>
      <c r="E142" s="67" t="inlineStr">
        <is>
          <t>EEV</t>
        </is>
      </c>
      <c r="F142" s="67" t="inlineStr">
        <is>
          <t>R-32</t>
        </is>
      </c>
      <c r="G142" s="68" t="inlineStr">
        <is>
          <t>$528</t>
        </is>
      </c>
      <c r="H142" s="67" t="inlineStr">
        <is>
          <t>24.5" wide</t>
        </is>
      </c>
    </row>
    <row r="143" ht="15" customHeight="1" s="30">
      <c r="A143" s="69" t="inlineStr">
        <is>
          <t>CAPFA-R32</t>
        </is>
      </c>
      <c r="B143" s="69" t="inlineStr">
        <is>
          <t>Cased UD R-32</t>
        </is>
      </c>
      <c r="C143" s="69" t="inlineStr">
        <is>
          <t>CAPFA1818A3A*</t>
        </is>
      </c>
      <c r="D143" s="70" t="n">
        <v>1.5</v>
      </c>
      <c r="E143" s="69" t="inlineStr">
        <is>
          <t>Piston</t>
        </is>
      </c>
      <c r="F143" s="69" t="inlineStr">
        <is>
          <t>R-32</t>
        </is>
      </c>
      <c r="G143" s="70" t="inlineStr">
        <is>
          <t>$326</t>
        </is>
      </c>
      <c r="H143" s="69" t="inlineStr">
        <is>
          <t>14" wide</t>
        </is>
      </c>
    </row>
    <row r="144" ht="15" customHeight="1" s="30">
      <c r="A144" s="67" t="inlineStr">
        <is>
          <t>CAPFA-R32</t>
        </is>
      </c>
      <c r="B144" s="67" t="inlineStr">
        <is>
          <t>Cased UD R-32</t>
        </is>
      </c>
      <c r="C144" s="67" t="inlineStr">
        <is>
          <t>CAPFA1818B3A*</t>
        </is>
      </c>
      <c r="D144" s="68" t="n">
        <v>1.5</v>
      </c>
      <c r="E144" s="67" t="inlineStr">
        <is>
          <t>Piston</t>
        </is>
      </c>
      <c r="F144" s="67" t="inlineStr">
        <is>
          <t>R-32</t>
        </is>
      </c>
      <c r="G144" s="68" t="inlineStr">
        <is>
          <t>$332</t>
        </is>
      </c>
      <c r="H144" s="67" t="inlineStr">
        <is>
          <t>17.5" wide</t>
        </is>
      </c>
    </row>
    <row r="145" ht="15" customHeight="1" s="30">
      <c r="A145" s="69" t="inlineStr">
        <is>
          <t>CAPFA-R32</t>
        </is>
      </c>
      <c r="B145" s="69" t="inlineStr">
        <is>
          <t>Cased UD R-32</t>
        </is>
      </c>
      <c r="C145" s="69" t="inlineStr">
        <is>
          <t>CAPFA2422B3A*</t>
        </is>
      </c>
      <c r="D145" s="70" t="n">
        <v>2</v>
      </c>
      <c r="E145" s="69" t="inlineStr">
        <is>
          <t>Piston</t>
        </is>
      </c>
      <c r="F145" s="69" t="inlineStr">
        <is>
          <t>R-32</t>
        </is>
      </c>
      <c r="G145" s="70" t="inlineStr">
        <is>
          <t>$343</t>
        </is>
      </c>
      <c r="H145" s="69" t="inlineStr">
        <is>
          <t>17.5" wide</t>
        </is>
      </c>
    </row>
    <row r="146" ht="15" customHeight="1" s="30">
      <c r="A146" s="67" t="inlineStr">
        <is>
          <t>CAPFA-R32</t>
        </is>
      </c>
      <c r="B146" s="67" t="inlineStr">
        <is>
          <t>Cased UD R-32</t>
        </is>
      </c>
      <c r="C146" s="67" t="inlineStr">
        <is>
          <t>CAPFA3022B3A*</t>
        </is>
      </c>
      <c r="D146" s="68" t="n">
        <v>2.5</v>
      </c>
      <c r="E146" s="67" t="inlineStr">
        <is>
          <t>Piston</t>
        </is>
      </c>
      <c r="F146" s="67" t="inlineStr">
        <is>
          <t>R-32</t>
        </is>
      </c>
      <c r="G146" s="68" t="inlineStr">
        <is>
          <t>$416</t>
        </is>
      </c>
      <c r="H146" s="67" t="inlineStr">
        <is>
          <t>17.5" wide</t>
        </is>
      </c>
    </row>
    <row r="147" ht="15" customHeight="1" s="30">
      <c r="A147" s="69" t="inlineStr">
        <is>
          <t>CAPFA-R32</t>
        </is>
      </c>
      <c r="B147" s="69" t="inlineStr">
        <is>
          <t>Cased UD R-32</t>
        </is>
      </c>
      <c r="C147" s="69" t="inlineStr">
        <is>
          <t>CAPFA3022C3A*</t>
        </is>
      </c>
      <c r="D147" s="70" t="n">
        <v>2.5</v>
      </c>
      <c r="E147" s="69" t="inlineStr">
        <is>
          <t>Piston</t>
        </is>
      </c>
      <c r="F147" s="69" t="inlineStr">
        <is>
          <t>R-32</t>
        </is>
      </c>
      <c r="G147" s="70" t="inlineStr">
        <is>
          <t>$417</t>
        </is>
      </c>
      <c r="H147" s="69" t="inlineStr">
        <is>
          <t>21" wide</t>
        </is>
      </c>
    </row>
    <row r="148" ht="15" customHeight="1" s="30">
      <c r="A148" s="67" t="inlineStr">
        <is>
          <t>CAPFA-R32</t>
        </is>
      </c>
      <c r="B148" s="67" t="inlineStr">
        <is>
          <t>Cased UD R-32</t>
        </is>
      </c>
      <c r="C148" s="67" t="inlineStr">
        <is>
          <t>CAPFA3626B3A*</t>
        </is>
      </c>
      <c r="D148" s="68" t="n">
        <v>3</v>
      </c>
      <c r="E148" s="67" t="inlineStr">
        <is>
          <t>Piston</t>
        </is>
      </c>
      <c r="F148" s="67" t="inlineStr">
        <is>
          <t>R-32</t>
        </is>
      </c>
      <c r="G148" s="68" t="inlineStr">
        <is>
          <t>$421</t>
        </is>
      </c>
      <c r="H148" s="67" t="inlineStr">
        <is>
          <t>17.5" wide</t>
        </is>
      </c>
    </row>
    <row r="149" ht="15" customHeight="1" s="30">
      <c r="A149" s="69" t="inlineStr">
        <is>
          <t>CAPFA-R32</t>
        </is>
      </c>
      <c r="B149" s="69" t="inlineStr">
        <is>
          <t>Cased UD R-32</t>
        </is>
      </c>
      <c r="C149" s="69" t="inlineStr">
        <is>
          <t>CAPFA3626C3A*</t>
        </is>
      </c>
      <c r="D149" s="70" t="n">
        <v>3</v>
      </c>
      <c r="E149" s="69" t="inlineStr">
        <is>
          <t>Piston</t>
        </is>
      </c>
      <c r="F149" s="69" t="inlineStr">
        <is>
          <t>R-32</t>
        </is>
      </c>
      <c r="G149" s="70" t="inlineStr">
        <is>
          <t>$423</t>
        </is>
      </c>
      <c r="H149" s="69" t="inlineStr">
        <is>
          <t>21" wide</t>
        </is>
      </c>
    </row>
    <row r="150" ht="15" customHeight="1" s="30">
      <c r="A150" s="67" t="inlineStr">
        <is>
          <t>CAPFA-R32</t>
        </is>
      </c>
      <c r="B150" s="67" t="inlineStr">
        <is>
          <t>Cased UD R-32</t>
        </is>
      </c>
      <c r="C150" s="67" t="inlineStr">
        <is>
          <t>CAPFA4226B3A*</t>
        </is>
      </c>
      <c r="D150" s="68" t="n">
        <v>3.5</v>
      </c>
      <c r="E150" s="67" t="inlineStr">
        <is>
          <t>Piston</t>
        </is>
      </c>
      <c r="F150" s="67" t="inlineStr">
        <is>
          <t>R-32</t>
        </is>
      </c>
      <c r="G150" s="68" t="inlineStr">
        <is>
          <t>$442</t>
        </is>
      </c>
      <c r="H150" s="67" t="inlineStr">
        <is>
          <t>17.5" wide</t>
        </is>
      </c>
    </row>
    <row r="151" ht="15" customHeight="1" s="30">
      <c r="A151" s="69" t="inlineStr">
        <is>
          <t>CAPFA-R32</t>
        </is>
      </c>
      <c r="B151" s="69" t="inlineStr">
        <is>
          <t>Cased UD R-32</t>
        </is>
      </c>
      <c r="C151" s="69" t="inlineStr">
        <is>
          <t>CAPFA4226C3A*</t>
        </is>
      </c>
      <c r="D151" s="70" t="n">
        <v>3.5</v>
      </c>
      <c r="E151" s="69" t="inlineStr">
        <is>
          <t>Piston</t>
        </is>
      </c>
      <c r="F151" s="69" t="inlineStr">
        <is>
          <t>R-32</t>
        </is>
      </c>
      <c r="G151" s="70" t="inlineStr">
        <is>
          <t>$451</t>
        </is>
      </c>
      <c r="H151" s="69" t="inlineStr">
        <is>
          <t>21" wide</t>
        </is>
      </c>
    </row>
    <row r="152" ht="15" customHeight="1" s="30">
      <c r="A152" s="67" t="inlineStr">
        <is>
          <t>CAPFA-R32</t>
        </is>
      </c>
      <c r="B152" s="67" t="inlineStr">
        <is>
          <t>Cased UD R-32</t>
        </is>
      </c>
      <c r="C152" s="67" t="inlineStr">
        <is>
          <t>CAPFA6030C3A*</t>
        </is>
      </c>
      <c r="D152" s="68" t="n">
        <v>4</v>
      </c>
      <c r="E152" s="67" t="inlineStr">
        <is>
          <t>Piston</t>
        </is>
      </c>
      <c r="F152" s="67" t="inlineStr">
        <is>
          <t>R-32</t>
        </is>
      </c>
      <c r="G152" s="68" t="inlineStr">
        <is>
          <t>$510</t>
        </is>
      </c>
      <c r="H152" s="67" t="inlineStr">
        <is>
          <t>21" wide</t>
        </is>
      </c>
    </row>
    <row r="153" ht="15" customHeight="1" s="30">
      <c r="A153" s="69" t="inlineStr">
        <is>
          <t>CAPFA-R32</t>
        </is>
      </c>
      <c r="B153" s="69" t="inlineStr">
        <is>
          <t>Cased UD R-32</t>
        </is>
      </c>
      <c r="C153" s="69" t="inlineStr">
        <is>
          <t>CAPFA6030D3A*</t>
        </is>
      </c>
      <c r="D153" s="70" t="n">
        <v>5</v>
      </c>
      <c r="E153" s="69" t="inlineStr">
        <is>
          <t>Piston</t>
        </is>
      </c>
      <c r="F153" s="69" t="inlineStr">
        <is>
          <t>R-32</t>
        </is>
      </c>
      <c r="G153" s="70" t="inlineStr">
        <is>
          <t>$509</t>
        </is>
      </c>
      <c r="H153" s="69" t="inlineStr">
        <is>
          <t>24.5" wide</t>
        </is>
      </c>
    </row>
    <row r="154" ht="15" customHeight="1" s="30"/>
    <row r="155" ht="15" customHeight="1" s="30"/>
    <row r="156" ht="15" customHeight="1" s="30">
      <c r="A156" s="63" t="inlineStr">
        <is>
          <t>DAIKIN DUCTLESS — SINGLE ZONE OUTDOOR UNITS  (Source: Thermal Supply catalog 05/24/2026)</t>
        </is>
      </c>
      <c r="B156" s="64" t="n"/>
      <c r="C156" s="64" t="n"/>
      <c r="D156" s="64" t="n"/>
      <c r="E156" s="64" t="n"/>
      <c r="F156" s="64" t="n"/>
      <c r="G156" s="64" t="n"/>
      <c r="H156" s="65" t="n"/>
    </row>
    <row r="157" ht="15" customHeight="1" s="30">
      <c r="A157" s="66" t="inlineStr">
        <is>
          <t>Series</t>
        </is>
      </c>
      <c r="B157" s="66" t="inlineStr">
        <is>
          <t>Type</t>
        </is>
      </c>
      <c r="C157" s="66" t="inlineStr">
        <is>
          <t>Model #</t>
        </is>
      </c>
      <c r="D157" s="66" t="inlineStr">
        <is>
          <t>Tons/BTU</t>
        </is>
      </c>
      <c r="E157" s="66" t="inlineStr">
        <is>
          <t>SEER2</t>
        </is>
      </c>
      <c r="F157" s="66" t="inlineStr">
        <is>
          <t>Refrig.</t>
        </is>
      </c>
      <c r="G157" s="66" t="inlineStr">
        <is>
          <t>Price</t>
        </is>
      </c>
      <c r="H157" s="66" t="inlineStr">
        <is>
          <t>Notes</t>
        </is>
      </c>
    </row>
    <row r="158" ht="15" customHeight="1" s="30">
      <c r="A158" s="67" t="inlineStr">
        <is>
          <t>RXC-AXV ENTRA 18 SEER2</t>
        </is>
      </c>
      <c r="B158" s="67" t="inlineStr">
        <is>
          <t>Wall Mount HP Inverter</t>
        </is>
      </c>
      <c r="C158" s="67" t="inlineStr">
        <is>
          <t>RXC09AXVJU</t>
        </is>
      </c>
      <c r="D158" s="68" t="inlineStr">
        <is>
          <t>9k</t>
        </is>
      </c>
      <c r="E158" s="68" t="n">
        <v>18</v>
      </c>
      <c r="F158" s="67" t="inlineStr">
        <is>
          <t>R-32</t>
        </is>
      </c>
      <c r="G158" s="68" t="inlineStr">
        <is>
          <t>$575</t>
        </is>
      </c>
      <c r="H158" s="67" t="inlineStr">
        <is>
          <t>10-yr parts w/ reg</t>
        </is>
      </c>
    </row>
    <row r="159" ht="15" customHeight="1" s="30">
      <c r="A159" s="69" t="inlineStr">
        <is>
          <t>RXC-AXV ENTRA 18 SEER2</t>
        </is>
      </c>
      <c r="B159" s="69" t="inlineStr">
        <is>
          <t>Wall Mount HP Inverter</t>
        </is>
      </c>
      <c r="C159" s="69" t="inlineStr">
        <is>
          <t>RXC12AXVJU</t>
        </is>
      </c>
      <c r="D159" s="70" t="inlineStr">
        <is>
          <t>12k</t>
        </is>
      </c>
      <c r="E159" s="70" t="n">
        <v>18</v>
      </c>
      <c r="F159" s="69" t="inlineStr">
        <is>
          <t>R-32</t>
        </is>
      </c>
      <c r="G159" s="70" t="inlineStr">
        <is>
          <t>$632</t>
        </is>
      </c>
      <c r="H159" s="69" t="inlineStr"/>
    </row>
    <row r="160" ht="15" customHeight="1" s="30">
      <c r="A160" s="67" t="inlineStr">
        <is>
          <t>RXC-AXV ENTRA 18 SEER2</t>
        </is>
      </c>
      <c r="B160" s="67" t="inlineStr">
        <is>
          <t>Wall Mount HP Inverter</t>
        </is>
      </c>
      <c r="C160" s="67" t="inlineStr">
        <is>
          <t>RXC18AXVJU</t>
        </is>
      </c>
      <c r="D160" s="68" t="inlineStr">
        <is>
          <t>18k</t>
        </is>
      </c>
      <c r="E160" s="68" t="n">
        <v>18</v>
      </c>
      <c r="F160" s="67" t="inlineStr">
        <is>
          <t>R-32</t>
        </is>
      </c>
      <c r="G160" s="68" t="inlineStr">
        <is>
          <t>$911</t>
        </is>
      </c>
      <c r="H160" s="67" t="inlineStr"/>
    </row>
    <row r="161" ht="15" customHeight="1" s="30">
      <c r="A161" s="69" t="inlineStr">
        <is>
          <t>RXC-AXV ENTRA 18 SEER2</t>
        </is>
      </c>
      <c r="B161" s="69" t="inlineStr">
        <is>
          <t>Wall Mount HP Inverter</t>
        </is>
      </c>
      <c r="C161" s="69" t="inlineStr">
        <is>
          <t>RXC24AXVJU</t>
        </is>
      </c>
      <c r="D161" s="70" t="inlineStr">
        <is>
          <t>24k</t>
        </is>
      </c>
      <c r="E161" s="70" t="n">
        <v>18</v>
      </c>
      <c r="F161" s="69" t="inlineStr">
        <is>
          <t>R-32</t>
        </is>
      </c>
      <c r="G161" s="70" t="inlineStr">
        <is>
          <t>$1,088</t>
        </is>
      </c>
      <c r="H161" s="69" t="inlineStr"/>
    </row>
    <row r="162" ht="15" customHeight="1" s="30">
      <c r="A162" s="67" t="inlineStr">
        <is>
          <t>RXF-BV OTERRA 21 SEER2</t>
        </is>
      </c>
      <c r="B162" s="67" t="inlineStr">
        <is>
          <t>Single Zone 21 SEER2 HP</t>
        </is>
      </c>
      <c r="C162" s="67" t="inlineStr">
        <is>
          <t>RXF09BVJU*</t>
        </is>
      </c>
      <c r="D162" s="68" t="inlineStr">
        <is>
          <t>9k</t>
        </is>
      </c>
      <c r="E162" s="68" t="n">
        <v>21</v>
      </c>
      <c r="F162" s="67" t="inlineStr">
        <is>
          <t>R-32</t>
        </is>
      </c>
      <c r="G162" s="68" t="inlineStr">
        <is>
          <t>$751</t>
        </is>
      </c>
      <c r="H162" s="67" t="inlineStr">
        <is>
          <t>12-yr parts w/ reg</t>
        </is>
      </c>
    </row>
    <row r="163" ht="15" customHeight="1" s="30">
      <c r="A163" s="69" t="inlineStr">
        <is>
          <t>RXF-BV OTERRA 21 SEER2</t>
        </is>
      </c>
      <c r="B163" s="69" t="inlineStr">
        <is>
          <t>Single Zone 21 SEER2 HP</t>
        </is>
      </c>
      <c r="C163" s="69" t="inlineStr">
        <is>
          <t>RXF12BVJU*</t>
        </is>
      </c>
      <c r="D163" s="70" t="inlineStr">
        <is>
          <t>12k</t>
        </is>
      </c>
      <c r="E163" s="70" t="n">
        <v>21</v>
      </c>
      <c r="F163" s="69" t="inlineStr">
        <is>
          <t>R-32</t>
        </is>
      </c>
      <c r="G163" s="70" t="inlineStr">
        <is>
          <t>$915</t>
        </is>
      </c>
      <c r="H163" s="69" t="inlineStr"/>
    </row>
    <row r="164" ht="15" customHeight="1" s="30">
      <c r="A164" s="67" t="inlineStr">
        <is>
          <t>RXF-BV OTERRA 21 SEER2</t>
        </is>
      </c>
      <c r="B164" s="67" t="inlineStr">
        <is>
          <t>Single Zone 21 SEER2 HP</t>
        </is>
      </c>
      <c r="C164" s="67" t="inlineStr">
        <is>
          <t>RXF18BVJU*</t>
        </is>
      </c>
      <c r="D164" s="68" t="inlineStr">
        <is>
          <t>18k</t>
        </is>
      </c>
      <c r="E164" s="68" t="n">
        <v>21</v>
      </c>
      <c r="F164" s="67" t="inlineStr">
        <is>
          <t>R-32</t>
        </is>
      </c>
      <c r="G164" s="68" t="inlineStr">
        <is>
          <t>$1,494</t>
        </is>
      </c>
      <c r="H164" s="67" t="inlineStr"/>
    </row>
    <row r="165" ht="15" customHeight="1" s="30">
      <c r="A165" s="69" t="inlineStr">
        <is>
          <t>RXF-BV OTERRA 21 SEER2</t>
        </is>
      </c>
      <c r="B165" s="69" t="inlineStr">
        <is>
          <t>Single Zone 21 SEER2 HP</t>
        </is>
      </c>
      <c r="C165" s="69" t="inlineStr">
        <is>
          <t>RXF24BVJU*</t>
        </is>
      </c>
      <c r="D165" s="70" t="inlineStr">
        <is>
          <t>24k</t>
        </is>
      </c>
      <c r="E165" s="70" t="n">
        <v>21</v>
      </c>
      <c r="F165" s="69" t="inlineStr">
        <is>
          <t>R-32</t>
        </is>
      </c>
      <c r="G165" s="70" t="inlineStr">
        <is>
          <t>$1,555</t>
        </is>
      </c>
      <c r="H165" s="69" t="inlineStr"/>
    </row>
    <row r="166" ht="15" customHeight="1" s="30">
      <c r="A166" s="67" t="inlineStr">
        <is>
          <t>RKF-BV OTERRA 21 SEER</t>
        </is>
      </c>
      <c r="B166" s="67" t="inlineStr">
        <is>
          <t>Cooling Only</t>
        </is>
      </c>
      <c r="C166" s="67" t="inlineStr">
        <is>
          <t>RKF09BVJU9</t>
        </is>
      </c>
      <c r="D166" s="68" t="inlineStr">
        <is>
          <t>9k</t>
        </is>
      </c>
      <c r="E166" s="68" t="n">
        <v>21</v>
      </c>
      <c r="F166" s="67" t="inlineStr">
        <is>
          <t>R-32</t>
        </is>
      </c>
      <c r="G166" s="68" t="inlineStr">
        <is>
          <t>$665</t>
        </is>
      </c>
      <c r="H166" s="67" t="inlineStr">
        <is>
          <t>12-yr parts w/ reg</t>
        </is>
      </c>
    </row>
    <row r="167" ht="15" customHeight="1" s="30">
      <c r="A167" s="69" t="inlineStr">
        <is>
          <t>RKF-BV OTERRA 21 SEER</t>
        </is>
      </c>
      <c r="B167" s="69" t="inlineStr">
        <is>
          <t>Cooling Only</t>
        </is>
      </c>
      <c r="C167" s="69" t="inlineStr">
        <is>
          <t>RKF12BVJU9</t>
        </is>
      </c>
      <c r="D167" s="70" t="inlineStr">
        <is>
          <t>12k</t>
        </is>
      </c>
      <c r="E167" s="70" t="n">
        <v>21</v>
      </c>
      <c r="F167" s="69" t="inlineStr">
        <is>
          <t>R-32</t>
        </is>
      </c>
      <c r="G167" s="70" t="inlineStr">
        <is>
          <t>$782</t>
        </is>
      </c>
      <c r="H167" s="69" t="inlineStr"/>
    </row>
    <row r="168" ht="15" customHeight="1" s="30">
      <c r="A168" s="67" t="inlineStr">
        <is>
          <t>RKF-BV OTERRA 21 SEER</t>
        </is>
      </c>
      <c r="B168" s="67" t="inlineStr">
        <is>
          <t>Cooling Only</t>
        </is>
      </c>
      <c r="C168" s="67" t="inlineStr">
        <is>
          <t>RKF18BVJU9</t>
        </is>
      </c>
      <c r="D168" s="68" t="inlineStr">
        <is>
          <t>18k</t>
        </is>
      </c>
      <c r="E168" s="68" t="n">
        <v>21</v>
      </c>
      <c r="F168" s="67" t="inlineStr">
        <is>
          <t>R-32</t>
        </is>
      </c>
      <c r="G168" s="68" t="inlineStr">
        <is>
          <t>$1,315</t>
        </is>
      </c>
      <c r="H168" s="67" t="inlineStr"/>
    </row>
    <row r="169" ht="15" customHeight="1" s="30">
      <c r="A169" s="69" t="inlineStr">
        <is>
          <t>RKF-BV OTERRA 21 SEER</t>
        </is>
      </c>
      <c r="B169" s="69" t="inlineStr">
        <is>
          <t>Cooling Only</t>
        </is>
      </c>
      <c r="C169" s="69" t="inlineStr">
        <is>
          <t>RKF24BVJU9</t>
        </is>
      </c>
      <c r="D169" s="70" t="inlineStr">
        <is>
          <t>24k</t>
        </is>
      </c>
      <c r="E169" s="70" t="n">
        <v>21</v>
      </c>
      <c r="F169" s="69" t="inlineStr">
        <is>
          <t>R-32</t>
        </is>
      </c>
      <c r="G169" s="70" t="inlineStr">
        <is>
          <t>$1,396</t>
        </is>
      </c>
      <c r="H169" s="69" t="inlineStr"/>
    </row>
    <row r="170" ht="15" customHeight="1" s="30">
      <c r="A170" s="67" t="inlineStr">
        <is>
          <t>RXQ-ASB OTERRA 115V</t>
        </is>
      </c>
      <c r="B170" s="67" t="inlineStr">
        <is>
          <t>115V HP R-32</t>
        </is>
      </c>
      <c r="C170" s="67" t="inlineStr">
        <is>
          <t>RXQ09ASBU9</t>
        </is>
      </c>
      <c r="D170" s="68" t="inlineStr">
        <is>
          <t>9k</t>
        </is>
      </c>
      <c r="E170" s="68" t="n">
        <v>20</v>
      </c>
      <c r="F170" s="67" t="inlineStr">
        <is>
          <t>R-32</t>
        </is>
      </c>
      <c r="G170" s="68" t="inlineStr">
        <is>
          <t>$609</t>
        </is>
      </c>
      <c r="H170" s="67" t="inlineStr">
        <is>
          <t>115V unit</t>
        </is>
      </c>
    </row>
    <row r="171" ht="15" customHeight="1" s="30">
      <c r="A171" s="69" t="inlineStr">
        <is>
          <t>RXQ-ASB OTERRA 115V</t>
        </is>
      </c>
      <c r="B171" s="69" t="inlineStr">
        <is>
          <t>115V HP R-32</t>
        </is>
      </c>
      <c r="C171" s="69" t="inlineStr">
        <is>
          <t>RXQ12ASBU9</t>
        </is>
      </c>
      <c r="D171" s="70" t="inlineStr">
        <is>
          <t>12k</t>
        </is>
      </c>
      <c r="E171" s="70" t="n">
        <v>20</v>
      </c>
      <c r="F171" s="69" t="inlineStr">
        <is>
          <t>R-32</t>
        </is>
      </c>
      <c r="G171" s="70" t="inlineStr">
        <is>
          <t>$675</t>
        </is>
      </c>
      <c r="H171" s="69" t="inlineStr">
        <is>
          <t>115V unit</t>
        </is>
      </c>
    </row>
    <row r="172" ht="15" customHeight="1" s="30">
      <c r="A172" s="67" t="inlineStr">
        <is>
          <t>RXT AURORA 21 SEER2</t>
        </is>
      </c>
      <c r="B172" s="67" t="inlineStr">
        <is>
          <t>Wall Mount HP System</t>
        </is>
      </c>
      <c r="C172" s="67" t="inlineStr">
        <is>
          <t>RXT09AVJU9</t>
        </is>
      </c>
      <c r="D172" s="68" t="inlineStr">
        <is>
          <t>9k</t>
        </is>
      </c>
      <c r="E172" s="68" t="n">
        <v>21</v>
      </c>
      <c r="F172" s="67" t="inlineStr">
        <is>
          <t>R-32</t>
        </is>
      </c>
      <c r="G172" s="68" t="inlineStr">
        <is>
          <t>$1,097</t>
        </is>
      </c>
      <c r="H172" s="67" t="inlineStr">
        <is>
          <t>12-yr parts w/ reg</t>
        </is>
      </c>
    </row>
    <row r="173" ht="15" customHeight="1" s="30">
      <c r="A173" s="69" t="inlineStr">
        <is>
          <t>RXT AURORA 21 SEER2</t>
        </is>
      </c>
      <c r="B173" s="69" t="inlineStr">
        <is>
          <t>Wall Mount HP System</t>
        </is>
      </c>
      <c r="C173" s="69" t="inlineStr">
        <is>
          <t>RXT12AVJU9</t>
        </is>
      </c>
      <c r="D173" s="70" t="inlineStr">
        <is>
          <t>12k</t>
        </is>
      </c>
      <c r="E173" s="70" t="n">
        <v>20</v>
      </c>
      <c r="F173" s="69" t="inlineStr">
        <is>
          <t>R-32</t>
        </is>
      </c>
      <c r="G173" s="70" t="inlineStr">
        <is>
          <t>$1,149</t>
        </is>
      </c>
      <c r="H173" s="69" t="inlineStr"/>
    </row>
    <row r="174" ht="15" customHeight="1" s="30">
      <c r="A174" s="67" t="inlineStr">
        <is>
          <t>RXT AURORA 21 SEER2</t>
        </is>
      </c>
      <c r="B174" s="67" t="inlineStr">
        <is>
          <t>Wall Mount HP System</t>
        </is>
      </c>
      <c r="C174" s="67" t="inlineStr">
        <is>
          <t>RXT15AVJU9</t>
        </is>
      </c>
      <c r="D174" s="68" t="inlineStr">
        <is>
          <t>15k</t>
        </is>
      </c>
      <c r="E174" s="68" t="n">
        <v>21</v>
      </c>
      <c r="F174" s="67" t="inlineStr">
        <is>
          <t>R-32</t>
        </is>
      </c>
      <c r="G174" s="68" t="inlineStr">
        <is>
          <t>$1,773</t>
        </is>
      </c>
      <c r="H174" s="67" t="inlineStr"/>
    </row>
    <row r="175" ht="15" customHeight="1" s="30">
      <c r="A175" s="69" t="inlineStr">
        <is>
          <t>RXT AURORA 21 SEER2</t>
        </is>
      </c>
      <c r="B175" s="69" t="inlineStr">
        <is>
          <t>Wall Mount HP System</t>
        </is>
      </c>
      <c r="C175" s="69" t="inlineStr">
        <is>
          <t>RXT18AVJU9</t>
        </is>
      </c>
      <c r="D175" s="70" t="inlineStr">
        <is>
          <t>18k</t>
        </is>
      </c>
      <c r="E175" s="70" t="n">
        <v>21</v>
      </c>
      <c r="F175" s="69" t="inlineStr">
        <is>
          <t>R-32</t>
        </is>
      </c>
      <c r="G175" s="70" t="inlineStr">
        <is>
          <t>$2,054</t>
        </is>
      </c>
      <c r="H175" s="69" t="inlineStr"/>
    </row>
    <row r="176" ht="15" customHeight="1" s="30">
      <c r="A176" s="67" t="inlineStr">
        <is>
          <t>RXT AURORA 21 SEER2</t>
        </is>
      </c>
      <c r="B176" s="67" t="inlineStr">
        <is>
          <t>Wall Mount HP System</t>
        </is>
      </c>
      <c r="C176" s="67" t="inlineStr">
        <is>
          <t>RXT24AVJU9</t>
        </is>
      </c>
      <c r="D176" s="68" t="inlineStr">
        <is>
          <t>24k</t>
        </is>
      </c>
      <c r="E176" s="68" t="n">
        <v>21</v>
      </c>
      <c r="F176" s="67" t="inlineStr">
        <is>
          <t>R-32</t>
        </is>
      </c>
      <c r="G176" s="68" t="inlineStr">
        <is>
          <t>$2,220</t>
        </is>
      </c>
      <c r="H176" s="67" t="inlineStr"/>
    </row>
    <row r="177" ht="15" customHeight="1" s="30">
      <c r="A177" s="69" t="inlineStr">
        <is>
          <t>RXP-AV AURORA 19.5 SEER2</t>
        </is>
      </c>
      <c r="B177" s="69" t="inlineStr">
        <is>
          <t>Single Zone HP (floor/ducted)</t>
        </is>
      </c>
      <c r="C177" s="69" t="inlineStr">
        <is>
          <t>RXP09AVJU9</t>
        </is>
      </c>
      <c r="D177" s="70" t="inlineStr">
        <is>
          <t>9k</t>
        </is>
      </c>
      <c r="E177" s="70" t="n">
        <v>19.5</v>
      </c>
      <c r="F177" s="69" t="inlineStr">
        <is>
          <t>R-32</t>
        </is>
      </c>
      <c r="G177" s="70" t="inlineStr">
        <is>
          <t>$1,097</t>
        </is>
      </c>
      <c r="H177" s="69" t="inlineStr">
        <is>
          <t>12-yr parts w/ reg</t>
        </is>
      </c>
    </row>
    <row r="178" ht="15" customHeight="1" s="30">
      <c r="A178" s="67" t="inlineStr">
        <is>
          <t>RXP-AV AURORA 19.5 SEER2</t>
        </is>
      </c>
      <c r="B178" s="67" t="inlineStr">
        <is>
          <t>Single Zone HP (floor/ducted)</t>
        </is>
      </c>
      <c r="C178" s="67" t="inlineStr">
        <is>
          <t>RXP12AVJU9</t>
        </is>
      </c>
      <c r="D178" s="68" t="inlineStr">
        <is>
          <t>12k</t>
        </is>
      </c>
      <c r="E178" s="68" t="n">
        <v>19.5</v>
      </c>
      <c r="F178" s="67" t="inlineStr">
        <is>
          <t>R-32</t>
        </is>
      </c>
      <c r="G178" s="68" t="inlineStr">
        <is>
          <t>$1,149</t>
        </is>
      </c>
      <c r="H178" s="67" t="inlineStr"/>
    </row>
    <row r="179" ht="15" customHeight="1" s="30">
      <c r="A179" s="69" t="inlineStr">
        <is>
          <t>RXP-AV AURORA 19.5 SEER2</t>
        </is>
      </c>
      <c r="B179" s="69" t="inlineStr">
        <is>
          <t>Single Zone HP (floor/ducted)</t>
        </is>
      </c>
      <c r="C179" s="69" t="inlineStr">
        <is>
          <t>RXP15AVJU9</t>
        </is>
      </c>
      <c r="D179" s="70" t="inlineStr">
        <is>
          <t>15k</t>
        </is>
      </c>
      <c r="E179" s="70" t="n">
        <v>19.5</v>
      </c>
      <c r="F179" s="69" t="inlineStr">
        <is>
          <t>R-32</t>
        </is>
      </c>
      <c r="G179" s="70" t="inlineStr">
        <is>
          <t>$1,773</t>
        </is>
      </c>
      <c r="H179" s="69" t="inlineStr"/>
    </row>
    <row r="180" ht="15" customHeight="1" s="30">
      <c r="A180" s="67" t="inlineStr">
        <is>
          <t>RXP-AV AURORA 19.5 SEER2</t>
        </is>
      </c>
      <c r="B180" s="67" t="inlineStr">
        <is>
          <t>Single Zone HP (floor/ducted)</t>
        </is>
      </c>
      <c r="C180" s="67" t="inlineStr">
        <is>
          <t>RXP18AVJU9</t>
        </is>
      </c>
      <c r="D180" s="68" t="inlineStr">
        <is>
          <t>18k</t>
        </is>
      </c>
      <c r="E180" s="68" t="n">
        <v>19.5</v>
      </c>
      <c r="F180" s="67" t="inlineStr">
        <is>
          <t>R-32</t>
        </is>
      </c>
      <c r="G180" s="68" t="inlineStr">
        <is>
          <t>$2,054</t>
        </is>
      </c>
      <c r="H180" s="67" t="inlineStr"/>
    </row>
    <row r="181" ht="15" customHeight="1" s="30">
      <c r="A181" s="69" t="inlineStr">
        <is>
          <t>RXP-AV AURORA 19.5 SEER2</t>
        </is>
      </c>
      <c r="B181" s="69" t="inlineStr">
        <is>
          <t>Single Zone HP (floor/ducted)</t>
        </is>
      </c>
      <c r="C181" s="69" t="inlineStr">
        <is>
          <t>RXP24AVJU9</t>
        </is>
      </c>
      <c r="D181" s="70" t="inlineStr">
        <is>
          <t>24k</t>
        </is>
      </c>
      <c r="E181" s="70" t="n">
        <v>18.3</v>
      </c>
      <c r="F181" s="69" t="inlineStr">
        <is>
          <t>R-32</t>
        </is>
      </c>
      <c r="G181" s="70" t="inlineStr">
        <is>
          <t>$2,220</t>
        </is>
      </c>
      <c r="H181" s="69" t="inlineStr"/>
    </row>
    <row r="182" ht="15" customHeight="1" s="30">
      <c r="A182" s="67" t="inlineStr">
        <is>
          <t>RXM-WV ATMOSPHERA 27.4 SEER2</t>
        </is>
      </c>
      <c r="B182" s="67" t="inlineStr">
        <is>
          <t>Split System HP</t>
        </is>
      </c>
      <c r="C182" s="67" t="inlineStr">
        <is>
          <t>RXM09WVJU9</t>
        </is>
      </c>
      <c r="D182" s="68" t="inlineStr">
        <is>
          <t>9k</t>
        </is>
      </c>
      <c r="E182" s="68" t="n">
        <v>27.4</v>
      </c>
      <c r="F182" s="67" t="inlineStr">
        <is>
          <t>R-32</t>
        </is>
      </c>
      <c r="G182" s="68" t="inlineStr">
        <is>
          <t>$1,100</t>
        </is>
      </c>
      <c r="H182" s="67" t="inlineStr">
        <is>
          <t>12-yr parts w/ reg</t>
        </is>
      </c>
    </row>
    <row r="183" ht="15" customHeight="1" s="30">
      <c r="A183" s="69" t="inlineStr">
        <is>
          <t>RXM-WV ATMOSPHERA 25.2 SEER2</t>
        </is>
      </c>
      <c r="B183" s="69" t="inlineStr">
        <is>
          <t>Split System HP</t>
        </is>
      </c>
      <c r="C183" s="69" t="inlineStr">
        <is>
          <t>RXM12WVJU9</t>
        </is>
      </c>
      <c r="D183" s="70" t="inlineStr">
        <is>
          <t>12k</t>
        </is>
      </c>
      <c r="E183" s="70" t="n">
        <v>25.2</v>
      </c>
      <c r="F183" s="69" t="inlineStr">
        <is>
          <t>R-32</t>
        </is>
      </c>
      <c r="G183" s="70" t="inlineStr">
        <is>
          <t>$1,328</t>
        </is>
      </c>
      <c r="H183" s="69" t="inlineStr"/>
    </row>
    <row r="184" ht="15" customHeight="1" s="30">
      <c r="A184" s="67" t="inlineStr">
        <is>
          <t>RXM-WV ATMOSPHERA 22.7 SEER2</t>
        </is>
      </c>
      <c r="B184" s="67" t="inlineStr">
        <is>
          <t>Split System HP</t>
        </is>
      </c>
      <c r="C184" s="67" t="inlineStr">
        <is>
          <t>RXM18WVJU9</t>
        </is>
      </c>
      <c r="D184" s="68" t="inlineStr">
        <is>
          <t>18k</t>
        </is>
      </c>
      <c r="E184" s="68" t="n">
        <v>22.7</v>
      </c>
      <c r="F184" s="67" t="inlineStr">
        <is>
          <t>R-32</t>
        </is>
      </c>
      <c r="G184" s="68" t="inlineStr">
        <is>
          <t>$2,134</t>
        </is>
      </c>
      <c r="H184" s="67" t="inlineStr"/>
    </row>
    <row r="185" ht="15" customHeight="1" s="30">
      <c r="A185" s="69" t="inlineStr">
        <is>
          <t>RXM-WV ATMOSPHERA 22.0 SEER2</t>
        </is>
      </c>
      <c r="B185" s="69" t="inlineStr">
        <is>
          <t>Split System HP</t>
        </is>
      </c>
      <c r="C185" s="69" t="inlineStr">
        <is>
          <t>RXM24WVJU9</t>
        </is>
      </c>
      <c r="D185" s="70" t="inlineStr">
        <is>
          <t>24k</t>
        </is>
      </c>
      <c r="E185" s="70" t="n">
        <v>22</v>
      </c>
      <c r="F185" s="69" t="inlineStr">
        <is>
          <t>R-32</t>
        </is>
      </c>
      <c r="G185" s="70" t="inlineStr">
        <is>
          <t>$2,444</t>
        </is>
      </c>
      <c r="H185" s="69" t="inlineStr"/>
    </row>
    <row r="186" ht="15" customHeight="1" s="30">
      <c r="A186" s="67" t="inlineStr">
        <is>
          <t>RXV POLARA 19 SEER2</t>
        </is>
      </c>
      <c r="B186" s="67" t="inlineStr">
        <is>
          <t>Single Zone HP</t>
        </is>
      </c>
      <c r="C186" s="67" t="inlineStr">
        <is>
          <t>RXV30AVJU9</t>
        </is>
      </c>
      <c r="D186" s="68" t="inlineStr">
        <is>
          <t>30k</t>
        </is>
      </c>
      <c r="E186" s="68" t="n">
        <v>19</v>
      </c>
      <c r="F186" s="67" t="inlineStr">
        <is>
          <t>R-32</t>
        </is>
      </c>
      <c r="G186" s="68" t="inlineStr">
        <is>
          <t>$2,263</t>
        </is>
      </c>
      <c r="H186" s="67" t="inlineStr">
        <is>
          <t>10-yr parts</t>
        </is>
      </c>
    </row>
    <row r="187" ht="15" customHeight="1" s="30">
      <c r="A187" s="69" t="inlineStr">
        <is>
          <t>RXV POLARA 18 SEER2</t>
        </is>
      </c>
      <c r="B187" s="69" t="inlineStr">
        <is>
          <t>Single Zone HP</t>
        </is>
      </c>
      <c r="C187" s="69" t="inlineStr">
        <is>
          <t>RXV36AVJU9</t>
        </is>
      </c>
      <c r="D187" s="70" t="inlineStr">
        <is>
          <t>36k</t>
        </is>
      </c>
      <c r="E187" s="70" t="n">
        <v>18</v>
      </c>
      <c r="F187" s="69" t="inlineStr">
        <is>
          <t>R-32</t>
        </is>
      </c>
      <c r="G187" s="70" t="inlineStr">
        <is>
          <t>$2,979</t>
        </is>
      </c>
      <c r="H187" s="69" t="inlineStr">
        <is>
          <t>10-yr parts</t>
        </is>
      </c>
    </row>
    <row r="188" ht="15" customHeight="1" s="30">
      <c r="A188" s="67" t="inlineStr">
        <is>
          <t>RKV POLARA</t>
        </is>
      </c>
      <c r="B188" s="67" t="inlineStr">
        <is>
          <t>Cooling Only</t>
        </is>
      </c>
      <c r="C188" s="67" t="inlineStr">
        <is>
          <t>RKV30AVJU9</t>
        </is>
      </c>
      <c r="D188" s="68" t="inlineStr">
        <is>
          <t>30k</t>
        </is>
      </c>
      <c r="E188" s="68" t="inlineStr">
        <is>
          <t>—</t>
        </is>
      </c>
      <c r="F188" s="67" t="inlineStr">
        <is>
          <t>R-32</t>
        </is>
      </c>
      <c r="G188" s="68" t="inlineStr">
        <is>
          <t>$1,951</t>
        </is>
      </c>
      <c r="H188" s="67" t="inlineStr">
        <is>
          <t>10-yr parts</t>
        </is>
      </c>
    </row>
    <row r="189" ht="15" customHeight="1" s="30">
      <c r="A189" s="69" t="inlineStr">
        <is>
          <t>RKV POLARA</t>
        </is>
      </c>
      <c r="B189" s="69" t="inlineStr">
        <is>
          <t>Cooling Only</t>
        </is>
      </c>
      <c r="C189" s="69" t="inlineStr">
        <is>
          <t>RKV36AVJU9</t>
        </is>
      </c>
      <c r="D189" s="70" t="inlineStr">
        <is>
          <t>36k</t>
        </is>
      </c>
      <c r="E189" s="70" t="inlineStr">
        <is>
          <t>—</t>
        </is>
      </c>
      <c r="F189" s="69" t="inlineStr">
        <is>
          <t>R-32</t>
        </is>
      </c>
      <c r="G189" s="70" t="inlineStr">
        <is>
          <t>$2,364</t>
        </is>
      </c>
      <c r="H189" s="69" t="inlineStr"/>
    </row>
    <row r="190" ht="15" customHeight="1" s="30"/>
    <row r="191" ht="15" customHeight="1" s="30">
      <c r="A191" s="63" t="inlineStr">
        <is>
          <t>DAIKIN DUCTLESS — INDOOR UNITS  (Source: Thermal Supply catalog 05/24/2026)</t>
        </is>
      </c>
      <c r="B191" s="64" t="n"/>
      <c r="C191" s="64" t="n"/>
      <c r="D191" s="64" t="n"/>
      <c r="E191" s="64" t="n"/>
      <c r="F191" s="64" t="n"/>
      <c r="G191" s="64" t="n"/>
      <c r="H191" s="65" t="n"/>
    </row>
    <row r="192" ht="15" customHeight="1" s="30">
      <c r="A192" s="66" t="inlineStr">
        <is>
          <t>Series</t>
        </is>
      </c>
      <c r="B192" s="66" t="inlineStr">
        <is>
          <t>Type</t>
        </is>
      </c>
      <c r="C192" s="66" t="inlineStr">
        <is>
          <t>Model #</t>
        </is>
      </c>
      <c r="D192" s="66" t="inlineStr">
        <is>
          <t>Capacity</t>
        </is>
      </c>
      <c r="E192" s="66" t="inlineStr">
        <is>
          <t>Style</t>
        </is>
      </c>
      <c r="F192" s="66" t="inlineStr">
        <is>
          <t>Refrig.</t>
        </is>
      </c>
      <c r="G192" s="66" t="inlineStr">
        <is>
          <t>Price</t>
        </is>
      </c>
      <c r="H192" s="66" t="inlineStr">
        <is>
          <t>Notes</t>
        </is>
      </c>
    </row>
    <row r="193" ht="15" customHeight="1" s="30">
      <c r="A193" s="67" t="inlineStr">
        <is>
          <t>FTXC-AXV ENTRA</t>
        </is>
      </c>
      <c r="B193" s="67" t="inlineStr">
        <is>
          <t>Wall Mount HP</t>
        </is>
      </c>
      <c r="C193" s="67" t="inlineStr">
        <is>
          <t>FTXC09AXVJU</t>
        </is>
      </c>
      <c r="D193" s="68" t="inlineStr">
        <is>
          <t>9k</t>
        </is>
      </c>
      <c r="E193" s="67" t="inlineStr">
        <is>
          <t>Wall</t>
        </is>
      </c>
      <c r="F193" s="67" t="inlineStr">
        <is>
          <t>R-32</t>
        </is>
      </c>
      <c r="G193" s="68" t="inlineStr">
        <is>
          <t>$307</t>
        </is>
      </c>
      <c r="H193" s="67" t="inlineStr"/>
    </row>
    <row r="194" ht="15" customHeight="1" s="30">
      <c r="A194" s="69" t="inlineStr">
        <is>
          <t>FTXC-AXV ENTRA</t>
        </is>
      </c>
      <c r="B194" s="69" t="inlineStr">
        <is>
          <t>Wall Mount HP</t>
        </is>
      </c>
      <c r="C194" s="69" t="inlineStr">
        <is>
          <t>FTXC12AXVJU</t>
        </is>
      </c>
      <c r="D194" s="70" t="inlineStr">
        <is>
          <t>12k</t>
        </is>
      </c>
      <c r="E194" s="69" t="inlineStr">
        <is>
          <t>Wall</t>
        </is>
      </c>
      <c r="F194" s="69" t="inlineStr">
        <is>
          <t>R-32</t>
        </is>
      </c>
      <c r="G194" s="70" t="inlineStr">
        <is>
          <t>$348</t>
        </is>
      </c>
      <c r="H194" s="69" t="inlineStr"/>
    </row>
    <row r="195" ht="15" customHeight="1" s="30">
      <c r="A195" s="67" t="inlineStr">
        <is>
          <t>FTXC-AXV ENTRA</t>
        </is>
      </c>
      <c r="B195" s="67" t="inlineStr">
        <is>
          <t>Wall Mount HP</t>
        </is>
      </c>
      <c r="C195" s="67" t="inlineStr">
        <is>
          <t>FTXC18AXVJU</t>
        </is>
      </c>
      <c r="D195" s="68" t="inlineStr">
        <is>
          <t>18k</t>
        </is>
      </c>
      <c r="E195" s="67" t="inlineStr">
        <is>
          <t>Wall</t>
        </is>
      </c>
      <c r="F195" s="67" t="inlineStr">
        <is>
          <t>R-32</t>
        </is>
      </c>
      <c r="G195" s="68" t="inlineStr">
        <is>
          <t>$372</t>
        </is>
      </c>
      <c r="H195" s="67" t="inlineStr"/>
    </row>
    <row r="196" ht="15" customHeight="1" s="30">
      <c r="A196" s="69" t="inlineStr">
        <is>
          <t>FTXC-AXV ENTRA</t>
        </is>
      </c>
      <c r="B196" s="69" t="inlineStr">
        <is>
          <t>Wall Mount HP</t>
        </is>
      </c>
      <c r="C196" s="69" t="inlineStr">
        <is>
          <t>FTXC24AXVJU</t>
        </is>
      </c>
      <c r="D196" s="70" t="inlineStr">
        <is>
          <t>24k</t>
        </is>
      </c>
      <c r="E196" s="69" t="inlineStr">
        <is>
          <t>Wall</t>
        </is>
      </c>
      <c r="F196" s="69" t="inlineStr">
        <is>
          <t>R-32</t>
        </is>
      </c>
      <c r="G196" s="70" t="inlineStr">
        <is>
          <t>$446</t>
        </is>
      </c>
      <c r="H196" s="69" t="inlineStr"/>
    </row>
    <row r="197" ht="15" customHeight="1" s="30">
      <c r="A197" s="67" t="inlineStr">
        <is>
          <t>FTXF-BV OTERRA</t>
        </is>
      </c>
      <c r="B197" s="67" t="inlineStr">
        <is>
          <t>Wall Mount Heat+Cool</t>
        </is>
      </c>
      <c r="C197" s="67" t="inlineStr">
        <is>
          <t>FTXF09BVJU*</t>
        </is>
      </c>
      <c r="D197" s="68" t="inlineStr">
        <is>
          <t>9k</t>
        </is>
      </c>
      <c r="E197" s="67" t="inlineStr">
        <is>
          <t>Wall</t>
        </is>
      </c>
      <c r="F197" s="67" t="inlineStr">
        <is>
          <t>R-32</t>
        </is>
      </c>
      <c r="G197" s="68" t="inlineStr">
        <is>
          <t>$414</t>
        </is>
      </c>
      <c r="H197" s="67" t="inlineStr"/>
    </row>
    <row r="198" ht="15" customHeight="1" s="30">
      <c r="A198" s="69" t="inlineStr">
        <is>
          <t>FTXF-BV OTERRA</t>
        </is>
      </c>
      <c r="B198" s="69" t="inlineStr">
        <is>
          <t>Wall Mount Heat+Cool</t>
        </is>
      </c>
      <c r="C198" s="69" t="inlineStr">
        <is>
          <t>FTXF12BVJU*</t>
        </is>
      </c>
      <c r="D198" s="70" t="inlineStr">
        <is>
          <t>12k</t>
        </is>
      </c>
      <c r="E198" s="69" t="inlineStr">
        <is>
          <t>Wall</t>
        </is>
      </c>
      <c r="F198" s="69" t="inlineStr">
        <is>
          <t>R-32</t>
        </is>
      </c>
      <c r="G198" s="70" t="inlineStr">
        <is>
          <t>$485</t>
        </is>
      </c>
      <c r="H198" s="69" t="inlineStr"/>
    </row>
    <row r="199" ht="15" customHeight="1" s="30">
      <c r="A199" s="67" t="inlineStr">
        <is>
          <t>FTXF-BV OTERRA</t>
        </is>
      </c>
      <c r="B199" s="67" t="inlineStr">
        <is>
          <t>Wall Mount Heat+Cool</t>
        </is>
      </c>
      <c r="C199" s="67" t="inlineStr">
        <is>
          <t>FTXF18BVJU*</t>
        </is>
      </c>
      <c r="D199" s="68" t="inlineStr">
        <is>
          <t>18k</t>
        </is>
      </c>
      <c r="E199" s="67" t="inlineStr">
        <is>
          <t>Wall</t>
        </is>
      </c>
      <c r="F199" s="67" t="inlineStr">
        <is>
          <t>R-32</t>
        </is>
      </c>
      <c r="G199" s="68" t="inlineStr">
        <is>
          <t>$581</t>
        </is>
      </c>
      <c r="H199" s="67" t="inlineStr"/>
    </row>
    <row r="200" ht="15" customHeight="1" s="30">
      <c r="A200" s="69" t="inlineStr">
        <is>
          <t>FTXF-BV OTERRA</t>
        </is>
      </c>
      <c r="B200" s="69" t="inlineStr">
        <is>
          <t>Wall Mount Heat+Cool</t>
        </is>
      </c>
      <c r="C200" s="69" t="inlineStr">
        <is>
          <t>FTXF24BVJU*</t>
        </is>
      </c>
      <c r="D200" s="70" t="inlineStr">
        <is>
          <t>24k</t>
        </is>
      </c>
      <c r="E200" s="69" t="inlineStr">
        <is>
          <t>Wall</t>
        </is>
      </c>
      <c r="F200" s="69" t="inlineStr">
        <is>
          <t>R-32</t>
        </is>
      </c>
      <c r="G200" s="70" t="inlineStr">
        <is>
          <t>$625</t>
        </is>
      </c>
      <c r="H200" s="69" t="inlineStr"/>
    </row>
    <row r="201" ht="15" customHeight="1" s="30">
      <c r="A201" s="67" t="inlineStr">
        <is>
          <t>FTKF-BV OTERRA</t>
        </is>
      </c>
      <c r="B201" s="67" t="inlineStr">
        <is>
          <t>Wall Mount Cooling Only</t>
        </is>
      </c>
      <c r="C201" s="67" t="inlineStr">
        <is>
          <t>FTKF09BVJU9</t>
        </is>
      </c>
      <c r="D201" s="68" t="inlineStr">
        <is>
          <t>9k</t>
        </is>
      </c>
      <c r="E201" s="67" t="inlineStr">
        <is>
          <t>Wall</t>
        </is>
      </c>
      <c r="F201" s="67" t="inlineStr">
        <is>
          <t>R-32</t>
        </is>
      </c>
      <c r="G201" s="68" t="inlineStr">
        <is>
          <t>$376</t>
        </is>
      </c>
      <c r="H201" s="67" t="inlineStr"/>
    </row>
    <row r="202" ht="15" customHeight="1" s="30">
      <c r="A202" s="69" t="inlineStr">
        <is>
          <t>FTKF-BV OTERRA</t>
        </is>
      </c>
      <c r="B202" s="69" t="inlineStr">
        <is>
          <t>Wall Mount Cooling Only</t>
        </is>
      </c>
      <c r="C202" s="69" t="inlineStr">
        <is>
          <t>FTKF12BVJU9</t>
        </is>
      </c>
      <c r="D202" s="70" t="inlineStr">
        <is>
          <t>12k</t>
        </is>
      </c>
      <c r="E202" s="69" t="inlineStr">
        <is>
          <t>Wall</t>
        </is>
      </c>
      <c r="F202" s="69" t="inlineStr">
        <is>
          <t>R-32</t>
        </is>
      </c>
      <c r="G202" s="70" t="inlineStr">
        <is>
          <t>$476</t>
        </is>
      </c>
      <c r="H202" s="69" t="inlineStr"/>
    </row>
    <row r="203" ht="15" customHeight="1" s="30">
      <c r="A203" s="67" t="inlineStr">
        <is>
          <t>FTKF-BV OTERRA</t>
        </is>
      </c>
      <c r="B203" s="67" t="inlineStr">
        <is>
          <t>Wall Mount Cooling Only</t>
        </is>
      </c>
      <c r="C203" s="67" t="inlineStr">
        <is>
          <t>FTKF18BVJU9</t>
        </is>
      </c>
      <c r="D203" s="68" t="inlineStr">
        <is>
          <t>18k</t>
        </is>
      </c>
      <c r="E203" s="67" t="inlineStr">
        <is>
          <t>Wall</t>
        </is>
      </c>
      <c r="F203" s="67" t="inlineStr">
        <is>
          <t>R-32</t>
        </is>
      </c>
      <c r="G203" s="68" t="inlineStr">
        <is>
          <t>$575</t>
        </is>
      </c>
      <c r="H203" s="67" t="inlineStr"/>
    </row>
    <row r="204" ht="15" customHeight="1" s="30">
      <c r="A204" s="69" t="inlineStr">
        <is>
          <t>FTKF-BV OTERRA</t>
        </is>
      </c>
      <c r="B204" s="69" t="inlineStr">
        <is>
          <t>Wall Mount Cooling Only</t>
        </is>
      </c>
      <c r="C204" s="69" t="inlineStr">
        <is>
          <t>FTKF24BVJU9</t>
        </is>
      </c>
      <c r="D204" s="70" t="inlineStr">
        <is>
          <t>24k</t>
        </is>
      </c>
      <c r="E204" s="69" t="inlineStr">
        <is>
          <t>Wall</t>
        </is>
      </c>
      <c r="F204" s="69" t="inlineStr">
        <is>
          <t>R-32</t>
        </is>
      </c>
      <c r="G204" s="70" t="inlineStr">
        <is>
          <t>$614</t>
        </is>
      </c>
      <c r="H204" s="69" t="inlineStr"/>
    </row>
    <row r="205" ht="15" customHeight="1" s="30">
      <c r="A205" s="67" t="inlineStr">
        <is>
          <t>FTXQ-ASB OTERRA 115V</t>
        </is>
      </c>
      <c r="B205" s="67" t="inlineStr">
        <is>
          <t>Wall Mount 115V</t>
        </is>
      </c>
      <c r="C205" s="67" t="inlineStr">
        <is>
          <t>FTXQ09ASBU9</t>
        </is>
      </c>
      <c r="D205" s="68" t="inlineStr">
        <is>
          <t>9k</t>
        </is>
      </c>
      <c r="E205" s="67" t="inlineStr">
        <is>
          <t>Wall</t>
        </is>
      </c>
      <c r="F205" s="67" t="inlineStr">
        <is>
          <t>R-32</t>
        </is>
      </c>
      <c r="G205" s="68" t="inlineStr">
        <is>
          <t>$324</t>
        </is>
      </c>
      <c r="H205" s="67" t="inlineStr">
        <is>
          <t>115V</t>
        </is>
      </c>
    </row>
    <row r="206" ht="15" customHeight="1" s="30">
      <c r="A206" s="69" t="inlineStr">
        <is>
          <t>FTXQ-ASB OTERRA 115V</t>
        </is>
      </c>
      <c r="B206" s="69" t="inlineStr">
        <is>
          <t>Wall Mount 115V</t>
        </is>
      </c>
      <c r="C206" s="69" t="inlineStr">
        <is>
          <t>FTXQ12ASBU9</t>
        </is>
      </c>
      <c r="D206" s="70" t="inlineStr">
        <is>
          <t>12k</t>
        </is>
      </c>
      <c r="E206" s="69" t="inlineStr">
        <is>
          <t>Wall</t>
        </is>
      </c>
      <c r="F206" s="69" t="inlineStr">
        <is>
          <t>R-32</t>
        </is>
      </c>
      <c r="G206" s="70" t="inlineStr">
        <is>
          <t>$372</t>
        </is>
      </c>
      <c r="H206" s="69" t="inlineStr">
        <is>
          <t>115V</t>
        </is>
      </c>
    </row>
    <row r="207" ht="15" customHeight="1" s="30">
      <c r="A207" s="67" t="inlineStr">
        <is>
          <t>FTXV AURORA</t>
        </is>
      </c>
      <c r="B207" s="67" t="inlineStr">
        <is>
          <t>Wall Mount Indoor Unit</t>
        </is>
      </c>
      <c r="C207" s="67" t="inlineStr">
        <is>
          <t>FTXV09AVJU9</t>
        </is>
      </c>
      <c r="D207" s="68" t="inlineStr">
        <is>
          <t>9k</t>
        </is>
      </c>
      <c r="E207" s="67" t="inlineStr">
        <is>
          <t>Wall</t>
        </is>
      </c>
      <c r="F207" s="67" t="inlineStr">
        <is>
          <t>R-32</t>
        </is>
      </c>
      <c r="G207" s="68" t="inlineStr">
        <is>
          <t>$507</t>
        </is>
      </c>
      <c r="H207" s="67" t="inlineStr"/>
    </row>
    <row r="208" ht="15" customHeight="1" s="30">
      <c r="A208" s="69" t="inlineStr">
        <is>
          <t>FTXV AURORA</t>
        </is>
      </c>
      <c r="B208" s="69" t="inlineStr">
        <is>
          <t>Wall Mount Indoor Unit</t>
        </is>
      </c>
      <c r="C208" s="69" t="inlineStr">
        <is>
          <t>FTXV12AVJU9</t>
        </is>
      </c>
      <c r="D208" s="70" t="inlineStr">
        <is>
          <t>12k</t>
        </is>
      </c>
      <c r="E208" s="69" t="inlineStr">
        <is>
          <t>Wall</t>
        </is>
      </c>
      <c r="F208" s="69" t="inlineStr">
        <is>
          <t>R-32</t>
        </is>
      </c>
      <c r="G208" s="70" t="inlineStr">
        <is>
          <t>$550</t>
        </is>
      </c>
      <c r="H208" s="69" t="inlineStr"/>
    </row>
    <row r="209" ht="15" customHeight="1" s="30">
      <c r="A209" s="67" t="inlineStr">
        <is>
          <t>FTXV AURORA</t>
        </is>
      </c>
      <c r="B209" s="67" t="inlineStr">
        <is>
          <t>Wall Mount Indoor Unit</t>
        </is>
      </c>
      <c r="C209" s="67" t="inlineStr">
        <is>
          <t>FTXV15AVJU9</t>
        </is>
      </c>
      <c r="D209" s="68" t="inlineStr">
        <is>
          <t>15k</t>
        </is>
      </c>
      <c r="E209" s="67" t="inlineStr">
        <is>
          <t>Wall</t>
        </is>
      </c>
      <c r="F209" s="67" t="inlineStr">
        <is>
          <t>R-32</t>
        </is>
      </c>
      <c r="G209" s="68" t="inlineStr">
        <is>
          <t>$609</t>
        </is>
      </c>
      <c r="H209" s="67" t="inlineStr"/>
    </row>
    <row r="210" ht="15" customHeight="1" s="30">
      <c r="A210" s="69" t="inlineStr">
        <is>
          <t>FTXV AURORA</t>
        </is>
      </c>
      <c r="B210" s="69" t="inlineStr">
        <is>
          <t>Wall Mount Indoor Unit</t>
        </is>
      </c>
      <c r="C210" s="69" t="inlineStr">
        <is>
          <t>FTXV18AVJU9</t>
        </is>
      </c>
      <c r="D210" s="70" t="inlineStr">
        <is>
          <t>18k</t>
        </is>
      </c>
      <c r="E210" s="69" t="inlineStr">
        <is>
          <t>Wall</t>
        </is>
      </c>
      <c r="F210" s="69" t="inlineStr">
        <is>
          <t>R-32</t>
        </is>
      </c>
      <c r="G210" s="70" t="inlineStr">
        <is>
          <t>$671</t>
        </is>
      </c>
      <c r="H210" s="69" t="inlineStr"/>
    </row>
    <row r="211" ht="15" customHeight="1" s="30">
      <c r="A211" s="67" t="inlineStr">
        <is>
          <t>FTXV AURORA</t>
        </is>
      </c>
      <c r="B211" s="67" t="inlineStr">
        <is>
          <t>Wall Mount Indoor Unit</t>
        </is>
      </c>
      <c r="C211" s="67" t="inlineStr">
        <is>
          <t>FTXV24AVJU9</t>
        </is>
      </c>
      <c r="D211" s="68" t="inlineStr">
        <is>
          <t>24k</t>
        </is>
      </c>
      <c r="E211" s="67" t="inlineStr">
        <is>
          <t>Wall</t>
        </is>
      </c>
      <c r="F211" s="67" t="inlineStr">
        <is>
          <t>R-32</t>
        </is>
      </c>
      <c r="G211" s="68" t="inlineStr">
        <is>
          <t>$759</t>
        </is>
      </c>
      <c r="H211" s="67" t="inlineStr"/>
    </row>
    <row r="212" ht="15" customHeight="1" s="30">
      <c r="A212" s="69" t="inlineStr">
        <is>
          <t>FVXV AURORA</t>
        </is>
      </c>
      <c r="B212" s="69" t="inlineStr">
        <is>
          <t>Floor Mount Heat Pump</t>
        </is>
      </c>
      <c r="C212" s="69" t="inlineStr">
        <is>
          <t>FVXV09AVJUT9</t>
        </is>
      </c>
      <c r="D212" s="70" t="inlineStr">
        <is>
          <t>9k</t>
        </is>
      </c>
      <c r="E212" s="69" t="inlineStr">
        <is>
          <t>Floor</t>
        </is>
      </c>
      <c r="F212" s="69" t="inlineStr">
        <is>
          <t>R-32</t>
        </is>
      </c>
      <c r="G212" s="70" t="inlineStr">
        <is>
          <t>$1,119</t>
        </is>
      </c>
      <c r="H212" s="69" t="inlineStr">
        <is>
          <t>T9 color</t>
        </is>
      </c>
    </row>
    <row r="213" ht="15" customHeight="1" s="30">
      <c r="A213" s="67" t="inlineStr">
        <is>
          <t>FVXV AURORA</t>
        </is>
      </c>
      <c r="B213" s="67" t="inlineStr">
        <is>
          <t>Floor Mount Heat Pump</t>
        </is>
      </c>
      <c r="C213" s="67" t="inlineStr">
        <is>
          <t>FVXV09AVJUW9</t>
        </is>
      </c>
      <c r="D213" s="68" t="inlineStr">
        <is>
          <t>9k</t>
        </is>
      </c>
      <c r="E213" s="67" t="inlineStr">
        <is>
          <t>Floor</t>
        </is>
      </c>
      <c r="F213" s="67" t="inlineStr">
        <is>
          <t>R-32</t>
        </is>
      </c>
      <c r="G213" s="68" t="inlineStr">
        <is>
          <t>$1,097</t>
        </is>
      </c>
      <c r="H213" s="67" t="inlineStr">
        <is>
          <t>W9 color</t>
        </is>
      </c>
    </row>
    <row r="214" ht="15" customHeight="1" s="30">
      <c r="A214" s="69" t="inlineStr">
        <is>
          <t>FVXV AURORA</t>
        </is>
      </c>
      <c r="B214" s="69" t="inlineStr">
        <is>
          <t>Floor Mount Heat Pump</t>
        </is>
      </c>
      <c r="C214" s="69" t="inlineStr">
        <is>
          <t>FVXV12AVJUT9</t>
        </is>
      </c>
      <c r="D214" s="70" t="inlineStr">
        <is>
          <t>12k</t>
        </is>
      </c>
      <c r="E214" s="69" t="inlineStr">
        <is>
          <t>Floor</t>
        </is>
      </c>
      <c r="F214" s="69" t="inlineStr">
        <is>
          <t>R-32</t>
        </is>
      </c>
      <c r="G214" s="70" t="inlineStr">
        <is>
          <t>$1,250</t>
        </is>
      </c>
      <c r="H214" s="69" t="inlineStr"/>
    </row>
    <row r="215" ht="15" customHeight="1" s="30">
      <c r="A215" s="67" t="inlineStr">
        <is>
          <t>FVXV AURORA</t>
        </is>
      </c>
      <c r="B215" s="67" t="inlineStr">
        <is>
          <t>Floor Mount Heat Pump</t>
        </is>
      </c>
      <c r="C215" s="67" t="inlineStr">
        <is>
          <t>FVXV15AVJUT9</t>
        </is>
      </c>
      <c r="D215" s="68" t="inlineStr">
        <is>
          <t>15k</t>
        </is>
      </c>
      <c r="E215" s="67" t="inlineStr">
        <is>
          <t>Floor</t>
        </is>
      </c>
      <c r="F215" s="67" t="inlineStr">
        <is>
          <t>R-32</t>
        </is>
      </c>
      <c r="G215" s="68" t="inlineStr">
        <is>
          <t>$1,374</t>
        </is>
      </c>
      <c r="H215" s="67" t="inlineStr"/>
    </row>
    <row r="216" ht="15" customHeight="1" s="30">
      <c r="A216" s="69" t="inlineStr">
        <is>
          <t>FVXV AURORA</t>
        </is>
      </c>
      <c r="B216" s="69" t="inlineStr">
        <is>
          <t>Floor Mount Heat Pump</t>
        </is>
      </c>
      <c r="C216" s="69" t="inlineStr">
        <is>
          <t>FVXV18AVJUT9</t>
        </is>
      </c>
      <c r="D216" s="70" t="inlineStr">
        <is>
          <t>18k</t>
        </is>
      </c>
      <c r="E216" s="69" t="inlineStr">
        <is>
          <t>Floor</t>
        </is>
      </c>
      <c r="F216" s="69" t="inlineStr">
        <is>
          <t>R-32</t>
        </is>
      </c>
      <c r="G216" s="70" t="inlineStr">
        <is>
          <t>$1,532</t>
        </is>
      </c>
      <c r="H216" s="69" t="inlineStr"/>
    </row>
    <row r="217" ht="15" customHeight="1" s="30">
      <c r="A217" s="67" t="inlineStr">
        <is>
          <t>FDMA-AV AURORA</t>
        </is>
      </c>
      <c r="B217" s="67" t="inlineStr">
        <is>
          <t>Med Static Horiz Ducted</t>
        </is>
      </c>
      <c r="C217" s="67" t="inlineStr">
        <is>
          <t>FDMA09AVJU9</t>
        </is>
      </c>
      <c r="D217" s="68" t="inlineStr">
        <is>
          <t>9k</t>
        </is>
      </c>
      <c r="E217" s="67" t="inlineStr">
        <is>
          <t>Ducted</t>
        </is>
      </c>
      <c r="F217" s="67" t="inlineStr">
        <is>
          <t>R-32</t>
        </is>
      </c>
      <c r="G217" s="68" t="inlineStr">
        <is>
          <t>$1,132</t>
        </is>
      </c>
      <c r="H217" s="67" t="inlineStr"/>
    </row>
    <row r="218" ht="15" customHeight="1" s="30">
      <c r="A218" s="69" t="inlineStr">
        <is>
          <t>FDMA-AV AURORA</t>
        </is>
      </c>
      <c r="B218" s="69" t="inlineStr">
        <is>
          <t>Med Static Horiz Ducted</t>
        </is>
      </c>
      <c r="C218" s="69" t="inlineStr">
        <is>
          <t>FDMA12AVJU9</t>
        </is>
      </c>
      <c r="D218" s="70" t="inlineStr">
        <is>
          <t>12k</t>
        </is>
      </c>
      <c r="E218" s="69" t="inlineStr">
        <is>
          <t>Ducted</t>
        </is>
      </c>
      <c r="F218" s="69" t="inlineStr">
        <is>
          <t>R-32</t>
        </is>
      </c>
      <c r="G218" s="70" t="inlineStr">
        <is>
          <t>$1,267</t>
        </is>
      </c>
      <c r="H218" s="69" t="inlineStr"/>
    </row>
    <row r="219" ht="15" customHeight="1" s="30">
      <c r="A219" s="67" t="inlineStr">
        <is>
          <t>FDMA-AV AURORA</t>
        </is>
      </c>
      <c r="B219" s="67" t="inlineStr">
        <is>
          <t>Med Static Horiz Ducted</t>
        </is>
      </c>
      <c r="C219" s="67" t="inlineStr">
        <is>
          <t>FDMA15AVJU9</t>
        </is>
      </c>
      <c r="D219" s="68" t="inlineStr">
        <is>
          <t>15k</t>
        </is>
      </c>
      <c r="E219" s="67" t="inlineStr">
        <is>
          <t>Ducted</t>
        </is>
      </c>
      <c r="F219" s="67" t="inlineStr">
        <is>
          <t>R-32</t>
        </is>
      </c>
      <c r="G219" s="68" t="inlineStr">
        <is>
          <t>$1,307</t>
        </is>
      </c>
      <c r="H219" s="67" t="inlineStr"/>
    </row>
    <row r="220" ht="15" customHeight="1" s="30">
      <c r="A220" s="69" t="inlineStr">
        <is>
          <t>FDMA-AV AURORA</t>
        </is>
      </c>
      <c r="B220" s="69" t="inlineStr">
        <is>
          <t>Med Static Horiz Ducted</t>
        </is>
      </c>
      <c r="C220" s="69" t="inlineStr">
        <is>
          <t>FDMA18AVJU9</t>
        </is>
      </c>
      <c r="D220" s="70" t="inlineStr">
        <is>
          <t>18k</t>
        </is>
      </c>
      <c r="E220" s="69" t="inlineStr">
        <is>
          <t>Ducted</t>
        </is>
      </c>
      <c r="F220" s="69" t="inlineStr">
        <is>
          <t>R-32</t>
        </is>
      </c>
      <c r="G220" s="70" t="inlineStr">
        <is>
          <t>$1,506</t>
        </is>
      </c>
      <c r="H220" s="69" t="inlineStr"/>
    </row>
    <row r="221" ht="15" customHeight="1" s="30">
      <c r="A221" s="67" t="inlineStr">
        <is>
          <t>FDMA-AV AURORA</t>
        </is>
      </c>
      <c r="B221" s="67" t="inlineStr">
        <is>
          <t>Med Static Horiz Ducted</t>
        </is>
      </c>
      <c r="C221" s="67" t="inlineStr">
        <is>
          <t>FDMA24AVJU9</t>
        </is>
      </c>
      <c r="D221" s="68" t="inlineStr">
        <is>
          <t>24k</t>
        </is>
      </c>
      <c r="E221" s="67" t="inlineStr">
        <is>
          <t>Ducted</t>
        </is>
      </c>
      <c r="F221" s="67" t="inlineStr">
        <is>
          <t>R-32</t>
        </is>
      </c>
      <c r="G221" s="68" t="inlineStr">
        <is>
          <t>$1,893</t>
        </is>
      </c>
      <c r="H221" s="67" t="inlineStr"/>
    </row>
    <row r="222" ht="15" customHeight="1" s="30">
      <c r="A222" s="69" t="inlineStr">
        <is>
          <t>FTXM-U9 ATMOSPHERA</t>
        </is>
      </c>
      <c r="B222" s="69" t="inlineStr">
        <is>
          <t>Wall Mount HP</t>
        </is>
      </c>
      <c r="C222" s="69" t="inlineStr">
        <is>
          <t>FTXM09WVJU9</t>
        </is>
      </c>
      <c r="D222" s="70" t="inlineStr">
        <is>
          <t>9k</t>
        </is>
      </c>
      <c r="E222" s="69" t="inlineStr">
        <is>
          <t>Wall</t>
        </is>
      </c>
      <c r="F222" s="69" t="inlineStr">
        <is>
          <t>R-32</t>
        </is>
      </c>
      <c r="G222" s="70" t="inlineStr">
        <is>
          <t>$477</t>
        </is>
      </c>
      <c r="H222" s="69" t="inlineStr"/>
    </row>
    <row r="223" ht="15" customHeight="1" s="30">
      <c r="A223" s="67" t="inlineStr">
        <is>
          <t>FTXM-U9 ATMOSPHERA</t>
        </is>
      </c>
      <c r="B223" s="67" t="inlineStr">
        <is>
          <t>Wall Mount HP</t>
        </is>
      </c>
      <c r="C223" s="67" t="inlineStr">
        <is>
          <t>FTXM12WVJU9</t>
        </is>
      </c>
      <c r="D223" s="68" t="inlineStr">
        <is>
          <t>12k</t>
        </is>
      </c>
      <c r="E223" s="67" t="inlineStr">
        <is>
          <t>Wall</t>
        </is>
      </c>
      <c r="F223" s="67" t="inlineStr">
        <is>
          <t>R-32</t>
        </is>
      </c>
      <c r="G223" s="68" t="inlineStr">
        <is>
          <t>$521</t>
        </is>
      </c>
      <c r="H223" s="67" t="inlineStr"/>
    </row>
    <row r="224" ht="15" customHeight="1" s="30">
      <c r="A224" s="69" t="inlineStr">
        <is>
          <t>FTXM-U9 ATMOSPHERA</t>
        </is>
      </c>
      <c r="B224" s="69" t="inlineStr">
        <is>
          <t>Wall Mount HP</t>
        </is>
      </c>
      <c r="C224" s="69" t="inlineStr">
        <is>
          <t>FTXM18WVJU9</t>
        </is>
      </c>
      <c r="D224" s="70" t="inlineStr">
        <is>
          <t>18k</t>
        </is>
      </c>
      <c r="E224" s="69" t="inlineStr">
        <is>
          <t>Wall</t>
        </is>
      </c>
      <c r="F224" s="69" t="inlineStr">
        <is>
          <t>R-32</t>
        </is>
      </c>
      <c r="G224" s="70" t="inlineStr">
        <is>
          <t>$680</t>
        </is>
      </c>
      <c r="H224" s="69" t="inlineStr"/>
    </row>
    <row r="225" ht="15" customHeight="1" s="30">
      <c r="A225" s="67" t="inlineStr">
        <is>
          <t>FTXM-U9 ATMOSPHERA</t>
        </is>
      </c>
      <c r="B225" s="67" t="inlineStr">
        <is>
          <t>Wall Mount HP</t>
        </is>
      </c>
      <c r="C225" s="67" t="inlineStr">
        <is>
          <t>FTXM24WVJU9</t>
        </is>
      </c>
      <c r="D225" s="68" t="inlineStr">
        <is>
          <t>24k</t>
        </is>
      </c>
      <c r="E225" s="67" t="inlineStr">
        <is>
          <t>Wall</t>
        </is>
      </c>
      <c r="F225" s="67" t="inlineStr">
        <is>
          <t>R-32</t>
        </is>
      </c>
      <c r="G225" s="68" t="inlineStr">
        <is>
          <t>$739</t>
        </is>
      </c>
      <c r="H225" s="67" t="inlineStr"/>
    </row>
    <row r="226" ht="15" customHeight="1" s="30">
      <c r="A226" s="69" t="inlineStr">
        <is>
          <t>FTXV POLARA</t>
        </is>
      </c>
      <c r="B226" s="69" t="inlineStr">
        <is>
          <t>Wall Mount Ductless</t>
        </is>
      </c>
      <c r="C226" s="69" t="inlineStr">
        <is>
          <t>FTXV30AVJU9</t>
        </is>
      </c>
      <c r="D226" s="70" t="inlineStr">
        <is>
          <t>30k</t>
        </is>
      </c>
      <c r="E226" s="69" t="inlineStr">
        <is>
          <t>Wall</t>
        </is>
      </c>
      <c r="F226" s="69" t="inlineStr">
        <is>
          <t>R-32</t>
        </is>
      </c>
      <c r="G226" s="70" t="inlineStr">
        <is>
          <t>$843</t>
        </is>
      </c>
      <c r="H226" s="69" t="inlineStr"/>
    </row>
    <row r="227" ht="15" customHeight="1" s="30">
      <c r="A227" s="67" t="inlineStr">
        <is>
          <t>FTXV POLARA</t>
        </is>
      </c>
      <c r="B227" s="67" t="inlineStr">
        <is>
          <t>Wall Mount Ductless</t>
        </is>
      </c>
      <c r="C227" s="67" t="inlineStr">
        <is>
          <t>FTXV36AVJU9</t>
        </is>
      </c>
      <c r="D227" s="68" t="inlineStr">
        <is>
          <t>36k</t>
        </is>
      </c>
      <c r="E227" s="67" t="inlineStr">
        <is>
          <t>Wall</t>
        </is>
      </c>
      <c r="F227" s="67" t="inlineStr">
        <is>
          <t>R-32</t>
        </is>
      </c>
      <c r="G227" s="68" t="inlineStr">
        <is>
          <t>$1,017</t>
        </is>
      </c>
      <c r="H227" s="67" t="inlineStr"/>
    </row>
    <row r="228" ht="15" customHeight="1" s="30"/>
    <row r="229" ht="15" customHeight="1" s="30">
      <c r="A229" s="63" t="inlineStr">
        <is>
          <t>DAIKIN DUCTLESS — MULTI-ZONE OUTDOOR UNITS  (Source: Thermal Supply catalog 05/24/2026)</t>
        </is>
      </c>
      <c r="B229" s="64" t="n"/>
      <c r="C229" s="64" t="n"/>
      <c r="D229" s="64" t="n"/>
      <c r="E229" s="64" t="n"/>
      <c r="F229" s="64" t="n"/>
      <c r="G229" s="64" t="n"/>
      <c r="H229" s="65" t="n"/>
    </row>
    <row r="230" ht="15" customHeight="1" s="30">
      <c r="A230" s="66" t="inlineStr">
        <is>
          <t>Series</t>
        </is>
      </c>
      <c r="B230" s="66" t="inlineStr">
        <is>
          <t>Type</t>
        </is>
      </c>
      <c r="C230" s="66" t="inlineStr">
        <is>
          <t>Model #</t>
        </is>
      </c>
      <c r="D230" s="66" t="inlineStr">
        <is>
          <t>BTU Max</t>
        </is>
      </c>
      <c r="E230" s="66" t="inlineStr">
        <is>
          <t>SEER2</t>
        </is>
      </c>
      <c r="F230" s="66" t="inlineStr">
        <is>
          <t>Refrig.</t>
        </is>
      </c>
      <c r="G230" s="66" t="inlineStr">
        <is>
          <t>Price</t>
        </is>
      </c>
      <c r="H230" s="66" t="inlineStr">
        <is>
          <t>Zones</t>
        </is>
      </c>
    </row>
    <row r="231" ht="15" customHeight="1" s="30">
      <c r="A231" s="67" t="inlineStr">
        <is>
          <t>2MXM18 MXM R-32</t>
        </is>
      </c>
      <c r="B231" s="67" t="inlineStr">
        <is>
          <t>Multi-Split HP</t>
        </is>
      </c>
      <c r="C231" s="67" t="inlineStr">
        <is>
          <t>2MXM18AVJU9</t>
        </is>
      </c>
      <c r="D231" s="68" t="inlineStr">
        <is>
          <t>18k</t>
        </is>
      </c>
      <c r="E231" s="68" t="n">
        <v>21</v>
      </c>
      <c r="F231" s="67" t="inlineStr">
        <is>
          <t>R-32</t>
        </is>
      </c>
      <c r="G231" s="68" t="inlineStr">
        <is>
          <t>$1,803</t>
        </is>
      </c>
      <c r="H231" s="67" t="inlineStr">
        <is>
          <t>2-zone</t>
        </is>
      </c>
    </row>
    <row r="232" ht="15" customHeight="1" s="30">
      <c r="A232" s="69" t="inlineStr">
        <is>
          <t>3MXM24 MXM R-32</t>
        </is>
      </c>
      <c r="B232" s="69" t="inlineStr">
        <is>
          <t>Multi-Split HP</t>
        </is>
      </c>
      <c r="C232" s="69" t="inlineStr">
        <is>
          <t>3MXM24AVJU9</t>
        </is>
      </c>
      <c r="D232" s="70" t="inlineStr">
        <is>
          <t>24k</t>
        </is>
      </c>
      <c r="E232" s="70" t="n">
        <v>21</v>
      </c>
      <c r="F232" s="69" t="inlineStr">
        <is>
          <t>R-32</t>
        </is>
      </c>
      <c r="G232" s="70" t="inlineStr">
        <is>
          <t>$2,585</t>
        </is>
      </c>
      <c r="H232" s="69" t="inlineStr">
        <is>
          <t>3-zone</t>
        </is>
      </c>
    </row>
    <row r="233" ht="15" customHeight="1" s="30">
      <c r="A233" s="67" t="inlineStr">
        <is>
          <t>4MXM36 MXM R-32</t>
        </is>
      </c>
      <c r="B233" s="67" t="inlineStr">
        <is>
          <t>Multi-Split HP</t>
        </is>
      </c>
      <c r="C233" s="67" t="inlineStr">
        <is>
          <t>4MXM36AVJU9</t>
        </is>
      </c>
      <c r="D233" s="68" t="inlineStr">
        <is>
          <t>36k</t>
        </is>
      </c>
      <c r="E233" s="68" t="n">
        <v>20</v>
      </c>
      <c r="F233" s="67" t="inlineStr">
        <is>
          <t>R-32</t>
        </is>
      </c>
      <c r="G233" s="68" t="inlineStr">
        <is>
          <t>$3,080</t>
        </is>
      </c>
      <c r="H233" s="67" t="inlineStr">
        <is>
          <t>4-zone</t>
        </is>
      </c>
    </row>
    <row r="234" ht="15" customHeight="1" s="30">
      <c r="A234" s="69" t="inlineStr">
        <is>
          <t>5MXM48 MXM R-32</t>
        </is>
      </c>
      <c r="B234" s="69" t="inlineStr">
        <is>
          <t>Multi-Split HP</t>
        </is>
      </c>
      <c r="C234" s="69" t="inlineStr">
        <is>
          <t>5MXM48AVJU9</t>
        </is>
      </c>
      <c r="D234" s="70" t="inlineStr">
        <is>
          <t>48k</t>
        </is>
      </c>
      <c r="E234" s="70" t="n">
        <v>20</v>
      </c>
      <c r="F234" s="69" t="inlineStr">
        <is>
          <t>R-32</t>
        </is>
      </c>
      <c r="G234" s="70" t="inlineStr">
        <is>
          <t>$4,131</t>
        </is>
      </c>
      <c r="H234" s="69" t="inlineStr">
        <is>
          <t>5-zone</t>
        </is>
      </c>
    </row>
    <row r="235" ht="15" customHeight="1" s="30">
      <c r="A235" s="67" t="inlineStr">
        <is>
          <t>2MXT18 AURORA MXT</t>
        </is>
      </c>
      <c r="B235" s="67" t="inlineStr">
        <is>
          <t>Aurora Multi-Split HP</t>
        </is>
      </c>
      <c r="C235" s="67" t="inlineStr">
        <is>
          <t>2MXT18AVJU9</t>
        </is>
      </c>
      <c r="D235" s="68" t="inlineStr">
        <is>
          <t>18k</t>
        </is>
      </c>
      <c r="E235" s="68" t="n">
        <v>21</v>
      </c>
      <c r="F235" s="67" t="inlineStr">
        <is>
          <t>R-32</t>
        </is>
      </c>
      <c r="G235" s="68" t="inlineStr">
        <is>
          <t>$2,367</t>
        </is>
      </c>
      <c r="H235" s="67" t="inlineStr">
        <is>
          <t>2-zone</t>
        </is>
      </c>
    </row>
    <row r="236" ht="15" customHeight="1" s="30">
      <c r="A236" s="69" t="inlineStr">
        <is>
          <t>3MXT24 AURORA MXT</t>
        </is>
      </c>
      <c r="B236" s="69" t="inlineStr">
        <is>
          <t>Aurora Multi-Split HP</t>
        </is>
      </c>
      <c r="C236" s="69" t="inlineStr">
        <is>
          <t>3MXT24AVJU9</t>
        </is>
      </c>
      <c r="D236" s="70" t="inlineStr">
        <is>
          <t>24k</t>
        </is>
      </c>
      <c r="E236" s="70" t="n">
        <v>19</v>
      </c>
      <c r="F236" s="69" t="inlineStr">
        <is>
          <t>R-32</t>
        </is>
      </c>
      <c r="G236" s="70" t="inlineStr">
        <is>
          <t>$3,086</t>
        </is>
      </c>
      <c r="H236" s="69" t="inlineStr">
        <is>
          <t>3-zone</t>
        </is>
      </c>
    </row>
    <row r="237" ht="15" customHeight="1" s="30">
      <c r="A237" s="67" t="inlineStr">
        <is>
          <t>4MXT36 AURORA MXT</t>
        </is>
      </c>
      <c r="B237" s="67" t="inlineStr">
        <is>
          <t>Aurora Multi-Split HP</t>
        </is>
      </c>
      <c r="C237" s="67" t="inlineStr">
        <is>
          <t>4MXT36AVJU9</t>
        </is>
      </c>
      <c r="D237" s="68" t="inlineStr">
        <is>
          <t>36k</t>
        </is>
      </c>
      <c r="E237" s="68" t="n">
        <v>20</v>
      </c>
      <c r="F237" s="67" t="inlineStr">
        <is>
          <t>R-32</t>
        </is>
      </c>
      <c r="G237" s="68" t="inlineStr">
        <is>
          <t>$3,773</t>
        </is>
      </c>
      <c r="H237" s="67" t="inlineStr">
        <is>
          <t>4-zone</t>
        </is>
      </c>
    </row>
    <row r="238" ht="15" customHeight="1" s="30">
      <c r="A238" s="69" t="inlineStr">
        <is>
          <t>5MXT40 AURORA MXT</t>
        </is>
      </c>
      <c r="B238" s="69" t="inlineStr">
        <is>
          <t>Aurora Multi-Split HP</t>
        </is>
      </c>
      <c r="C238" s="69" t="inlineStr">
        <is>
          <t>5MXT40AVJU9</t>
        </is>
      </c>
      <c r="D238" s="70" t="inlineStr">
        <is>
          <t>40k</t>
        </is>
      </c>
      <c r="E238" s="70" t="n">
        <v>20</v>
      </c>
      <c r="F238" s="69" t="inlineStr">
        <is>
          <t>R-32</t>
        </is>
      </c>
      <c r="G238" s="70" t="inlineStr">
        <is>
          <t>$4,165</t>
        </is>
      </c>
      <c r="H238" s="69" t="inlineStr">
        <is>
          <t>5-zone</t>
        </is>
      </c>
    </row>
    <row r="239" ht="15" customHeight="1" s="30">
      <c r="A239" s="67" t="inlineStr">
        <is>
          <t>2MXTH18 AURORA MXTH</t>
        </is>
      </c>
      <c r="B239" s="67" t="inlineStr">
        <is>
          <t>Aurora Multi-Split HP</t>
        </is>
      </c>
      <c r="C239" s="67" t="inlineStr">
        <is>
          <t>2MXTH18AVJU9</t>
        </is>
      </c>
      <c r="D239" s="68" t="inlineStr">
        <is>
          <t>18k</t>
        </is>
      </c>
      <c r="E239" s="68" t="n">
        <v>21</v>
      </c>
      <c r="F239" s="67" t="inlineStr">
        <is>
          <t>R-32</t>
        </is>
      </c>
      <c r="G239" s="68" t="inlineStr">
        <is>
          <t>$2,560</t>
        </is>
      </c>
      <c r="H239" s="67" t="inlineStr">
        <is>
          <t>2-zone</t>
        </is>
      </c>
    </row>
    <row r="240" ht="15" customHeight="1" s="30">
      <c r="A240" s="69" t="inlineStr">
        <is>
          <t>3MXTH24 AURORA MXTH</t>
        </is>
      </c>
      <c r="B240" s="69" t="inlineStr">
        <is>
          <t>Aurora Multi-Split HP</t>
        </is>
      </c>
      <c r="C240" s="69" t="inlineStr">
        <is>
          <t>3MXTH24AVJU9</t>
        </is>
      </c>
      <c r="D240" s="70" t="inlineStr">
        <is>
          <t>24k</t>
        </is>
      </c>
      <c r="E240" s="70" t="n">
        <v>19</v>
      </c>
      <c r="F240" s="69" t="inlineStr">
        <is>
          <t>R-32</t>
        </is>
      </c>
      <c r="G240" s="70" t="inlineStr">
        <is>
          <t>$3,209</t>
        </is>
      </c>
      <c r="H240" s="69" t="inlineStr">
        <is>
          <t>3-zone</t>
        </is>
      </c>
    </row>
    <row r="241" ht="15" customHeight="1" s="30">
      <c r="A241" s="67" t="inlineStr">
        <is>
          <t>4MXTH36 AURORA MXTH</t>
        </is>
      </c>
      <c r="B241" s="67" t="inlineStr">
        <is>
          <t>Aurora Multi-Split HP</t>
        </is>
      </c>
      <c r="C241" s="67" t="inlineStr">
        <is>
          <t>4MXTH36AVJU9</t>
        </is>
      </c>
      <c r="D241" s="68" t="inlineStr">
        <is>
          <t>36k</t>
        </is>
      </c>
      <c r="E241" s="68" t="n">
        <v>20</v>
      </c>
      <c r="F241" s="67" t="inlineStr">
        <is>
          <t>R-32</t>
        </is>
      </c>
      <c r="G241" s="68" t="inlineStr">
        <is>
          <t>$3,924</t>
        </is>
      </c>
      <c r="H241" s="67" t="inlineStr">
        <is>
          <t>4-zone</t>
        </is>
      </c>
    </row>
    <row r="242" ht="15" customHeight="1" s="30">
      <c r="A242" s="69" t="inlineStr">
        <is>
          <t>5MXTH40 AURORA MXTH</t>
        </is>
      </c>
      <c r="B242" s="69" t="inlineStr">
        <is>
          <t>Aurora Multi-Split HP</t>
        </is>
      </c>
      <c r="C242" s="69" t="inlineStr">
        <is>
          <t>5MXTH40AVJU9</t>
        </is>
      </c>
      <c r="D242" s="70" t="inlineStr">
        <is>
          <t>40k</t>
        </is>
      </c>
      <c r="E242" s="70" t="n">
        <v>20</v>
      </c>
      <c r="F242" s="69" t="inlineStr">
        <is>
          <t>R-32</t>
        </is>
      </c>
      <c r="G242" s="70" t="inlineStr">
        <is>
          <t>$4,331</t>
        </is>
      </c>
      <c r="H242" s="69" t="inlineStr">
        <is>
          <t>5-zone</t>
        </is>
      </c>
    </row>
    <row r="243" ht="15" customHeight="1" s="30"/>
    <row r="244" ht="15" customHeight="1" s="30">
      <c r="A244" s="63" t="inlineStr">
        <is>
          <t>DAIKIN DUCTLESS — CONTROLS &amp; ACCESSORIES  (Source: Thermal Supply catalog 05/24/2026)</t>
        </is>
      </c>
      <c r="B244" s="64" t="n"/>
      <c r="C244" s="64" t="n"/>
      <c r="D244" s="64" t="n"/>
      <c r="E244" s="64" t="n"/>
      <c r="F244" s="64" t="n"/>
      <c r="G244" s="64" t="n"/>
      <c r="H244" s="65" t="n"/>
    </row>
    <row r="245" ht="15" customHeight="1" s="30">
      <c r="A245" s="66" t="inlineStr">
        <is>
          <t>Category</t>
        </is>
      </c>
      <c r="B245" s="66" t="inlineStr">
        <is>
          <t>Description</t>
        </is>
      </c>
      <c r="C245" s="66" t="inlineStr">
        <is>
          <t>Model #</t>
        </is>
      </c>
      <c r="D245" s="66" t="inlineStr">
        <is>
          <t>—</t>
        </is>
      </c>
      <c r="E245" s="66" t="inlineStr">
        <is>
          <t>—</t>
        </is>
      </c>
      <c r="F245" s="66" t="inlineStr">
        <is>
          <t>—</t>
        </is>
      </c>
      <c r="G245" s="66" t="inlineStr">
        <is>
          <t>Price</t>
        </is>
      </c>
      <c r="H245" s="66" t="inlineStr">
        <is>
          <t>Notes</t>
        </is>
      </c>
    </row>
    <row r="246" ht="15" customHeight="1" s="30">
      <c r="A246" s="67" t="inlineStr">
        <is>
          <t>Thermostat</t>
        </is>
      </c>
      <c r="B246" s="67" t="inlineStr">
        <is>
          <t>Daikin ONE+ Lite w/ Wi-Fi</t>
        </is>
      </c>
      <c r="C246" s="67" t="inlineStr">
        <is>
          <t>DTST-LTE-LA-A</t>
        </is>
      </c>
      <c r="D246" s="67" t="inlineStr">
        <is>
          <t>—</t>
        </is>
      </c>
      <c r="E246" s="67" t="inlineStr">
        <is>
          <t>—</t>
        </is>
      </c>
      <c r="F246" s="67" t="inlineStr">
        <is>
          <t>—</t>
        </is>
      </c>
      <c r="G246" s="68" t="inlineStr">
        <is>
          <t>$256</t>
        </is>
      </c>
      <c r="H246" s="67" t="inlineStr">
        <is>
          <t>most single/multi-zone</t>
        </is>
      </c>
    </row>
    <row r="247" ht="15" customHeight="1" s="30">
      <c r="A247" s="69" t="inlineStr">
        <is>
          <t>Thermostat</t>
        </is>
      </c>
      <c r="B247" s="69" t="inlineStr">
        <is>
          <t>Daikin ONE Smart w/ VRV ctrl</t>
        </is>
      </c>
      <c r="C247" s="69" t="inlineStr">
        <is>
          <t>DTST-ONE-ADA-A</t>
        </is>
      </c>
      <c r="D247" s="69" t="inlineStr">
        <is>
          <t>—</t>
        </is>
      </c>
      <c r="E247" s="69" t="inlineStr">
        <is>
          <t>—</t>
        </is>
      </c>
      <c r="F247" s="69" t="inlineStr">
        <is>
          <t>—</t>
        </is>
      </c>
      <c r="G247" s="70" t="inlineStr">
        <is>
          <t>$452</t>
        </is>
      </c>
      <c r="H247" s="69" t="inlineStr">
        <is>
          <t>12-yr parts w/ reg</t>
        </is>
      </c>
    </row>
    <row r="248" ht="15" customHeight="1" s="30">
      <c r="A248" s="67" t="inlineStr">
        <is>
          <t>Thermostat</t>
        </is>
      </c>
      <c r="B248" s="67" t="inlineStr">
        <is>
          <t>Daikin ONE Smart Combo Pack</t>
        </is>
      </c>
      <c r="C248" s="67" t="inlineStr">
        <is>
          <t>DTST-TOU-ADA-A</t>
        </is>
      </c>
      <c r="D248" s="67" t="inlineStr">
        <is>
          <t>—</t>
        </is>
      </c>
      <c r="E248" s="67" t="inlineStr">
        <is>
          <t>—</t>
        </is>
      </c>
      <c r="F248" s="67" t="inlineStr">
        <is>
          <t>—</t>
        </is>
      </c>
      <c r="G248" s="68" t="inlineStr">
        <is>
          <t>$432</t>
        </is>
      </c>
      <c r="H248" s="67" t="inlineStr"/>
    </row>
    <row r="249" ht="15" customHeight="1" s="30">
      <c r="A249" s="69" t="inlineStr">
        <is>
          <t>Remote Controller</t>
        </is>
      </c>
      <c r="B249" s="69" t="inlineStr">
        <is>
          <t>Navigation Remote</t>
        </is>
      </c>
      <c r="C249" s="69" t="inlineStr">
        <is>
          <t>BRC1NRV71</t>
        </is>
      </c>
      <c r="D249" s="69" t="inlineStr">
        <is>
          <t>—</t>
        </is>
      </c>
      <c r="E249" s="69" t="inlineStr">
        <is>
          <t>—</t>
        </is>
      </c>
      <c r="F249" s="69" t="inlineStr">
        <is>
          <t>—</t>
        </is>
      </c>
      <c r="G249" s="70" t="inlineStr">
        <is>
          <t>$326</t>
        </is>
      </c>
      <c r="H249" s="69" t="inlineStr"/>
    </row>
    <row r="250" ht="15" customHeight="1" s="30">
      <c r="A250" s="67" t="inlineStr">
        <is>
          <t>Remote Controller</t>
        </is>
      </c>
      <c r="B250" s="67" t="inlineStr">
        <is>
          <t>Madoka Wired Remote</t>
        </is>
      </c>
      <c r="C250" s="67" t="inlineStr">
        <is>
          <t>BRC1H71W</t>
        </is>
      </c>
      <c r="D250" s="67" t="inlineStr">
        <is>
          <t>—</t>
        </is>
      </c>
      <c r="E250" s="67" t="inlineStr">
        <is>
          <t>—</t>
        </is>
      </c>
      <c r="F250" s="67" t="inlineStr">
        <is>
          <t>—</t>
        </is>
      </c>
      <c r="G250" s="68" t="inlineStr">
        <is>
          <t>$63</t>
        </is>
      </c>
      <c r="H250" s="67" t="inlineStr"/>
    </row>
    <row r="251" ht="15" customHeight="1" s="30">
      <c r="A251" s="69" t="inlineStr">
        <is>
          <t>Wi-Fi Adapter</t>
        </is>
      </c>
      <c r="B251" s="69" t="inlineStr">
        <is>
          <t>DKN Cloud WiFi Adaptor</t>
        </is>
      </c>
      <c r="C251" s="69" t="inlineStr">
        <is>
          <t>AZAI6WSCDKA</t>
        </is>
      </c>
      <c r="D251" s="69" t="inlineStr">
        <is>
          <t>—</t>
        </is>
      </c>
      <c r="E251" s="69" t="inlineStr">
        <is>
          <t>—</t>
        </is>
      </c>
      <c r="F251" s="69" t="inlineStr">
        <is>
          <t>—</t>
        </is>
      </c>
      <c r="G251" s="70" t="inlineStr">
        <is>
          <t>$103</t>
        </is>
      </c>
      <c r="H251" s="69" t="inlineStr">
        <is>
          <t>req BRC1E73 + DKN App</t>
        </is>
      </c>
    </row>
    <row r="252" ht="15" customHeight="1" s="30">
      <c r="A252" s="67" t="inlineStr">
        <is>
          <t>Wi-Fi Adapter</t>
        </is>
      </c>
      <c r="B252" s="67" t="inlineStr">
        <is>
          <t>DKN Plus Interface</t>
        </is>
      </c>
      <c r="C252" s="67" t="inlineStr">
        <is>
          <t>AZAI6WSPDKC</t>
        </is>
      </c>
      <c r="D252" s="67" t="inlineStr">
        <is>
          <t>—</t>
        </is>
      </c>
      <c r="E252" s="67" t="inlineStr">
        <is>
          <t>—</t>
        </is>
      </c>
      <c r="F252" s="67" t="inlineStr">
        <is>
          <t>—</t>
        </is>
      </c>
      <c r="G252" s="68" t="inlineStr">
        <is>
          <t>$245</t>
        </is>
      </c>
      <c r="H252" s="67" t="inlineStr"/>
    </row>
    <row r="253" ht="15" customHeight="1" s="30">
      <c r="A253" s="69" t="inlineStr">
        <is>
          <t>Heat Kit</t>
        </is>
      </c>
      <c r="B253" s="69" t="inlineStr">
        <is>
          <t>Electric Heat Kit 5kW 208/240V</t>
        </is>
      </c>
      <c r="C253" s="69" t="inlineStr">
        <is>
          <t>HKTSD05X1</t>
        </is>
      </c>
      <c r="D253" s="69" t="inlineStr">
        <is>
          <t>5kW</t>
        </is>
      </c>
      <c r="E253" s="69" t="inlineStr">
        <is>
          <t>—</t>
        </is>
      </c>
      <c r="F253" s="69" t="inlineStr">
        <is>
          <t>—</t>
        </is>
      </c>
      <c r="G253" s="70" t="inlineStr">
        <is>
          <t>$57</t>
        </is>
      </c>
      <c r="H253" s="69" t="inlineStr">
        <is>
          <t>for CMXV air handler</t>
        </is>
      </c>
    </row>
    <row r="254" ht="15" customHeight="1" s="30">
      <c r="A254" s="67" t="inlineStr">
        <is>
          <t>Heat Kit</t>
        </is>
      </c>
      <c r="B254" s="67" t="inlineStr">
        <is>
          <t>Electric Heat Kit 8kW 208/240V</t>
        </is>
      </c>
      <c r="C254" s="67" t="inlineStr">
        <is>
          <t>HKTSD08X1</t>
        </is>
      </c>
      <c r="D254" s="67" t="inlineStr">
        <is>
          <t>8kW</t>
        </is>
      </c>
      <c r="E254" s="67" t="inlineStr">
        <is>
          <t>—</t>
        </is>
      </c>
      <c r="F254" s="67" t="inlineStr">
        <is>
          <t>—</t>
        </is>
      </c>
      <c r="G254" s="68" t="inlineStr">
        <is>
          <t>$76</t>
        </is>
      </c>
      <c r="H254" s="67" t="inlineStr"/>
    </row>
    <row r="255" ht="15" customHeight="1" s="30">
      <c r="A255" s="69" t="inlineStr">
        <is>
          <t>Heat Kit</t>
        </is>
      </c>
      <c r="B255" s="69" t="inlineStr">
        <is>
          <t>Electric Heat Kit 10kW 208/240V</t>
        </is>
      </c>
      <c r="C255" s="69" t="inlineStr">
        <is>
          <t>HKTSD10X1</t>
        </is>
      </c>
      <c r="D255" s="69" t="inlineStr">
        <is>
          <t>10kW</t>
        </is>
      </c>
      <c r="E255" s="69" t="inlineStr">
        <is>
          <t>—</t>
        </is>
      </c>
      <c r="F255" s="69" t="inlineStr">
        <is>
          <t>—</t>
        </is>
      </c>
      <c r="G255" s="70" t="inlineStr">
        <is>
          <t>$80</t>
        </is>
      </c>
      <c r="H255" s="69" t="inlineStr"/>
    </row>
    <row r="256" ht="15" customHeight="1" s="30">
      <c r="A256" s="67" t="inlineStr">
        <is>
          <t>Interface</t>
        </is>
      </c>
      <c r="B256" s="67" t="inlineStr">
        <is>
          <t>Interface Adaptor Wired Controllers</t>
        </is>
      </c>
      <c r="C256" s="67" t="inlineStr">
        <is>
          <t>KRP067A41E</t>
        </is>
      </c>
      <c r="D256" s="67" t="inlineStr">
        <is>
          <t>—</t>
        </is>
      </c>
      <c r="E256" s="67" t="inlineStr">
        <is>
          <t>—</t>
        </is>
      </c>
      <c r="F256" s="67" t="inlineStr">
        <is>
          <t>—</t>
        </is>
      </c>
      <c r="G256" s="68" t="inlineStr">
        <is>
          <t>$159</t>
        </is>
      </c>
      <c r="H256" s="67" t="inlineStr"/>
    </row>
    <row r="257" ht="15" customHeight="1" s="30">
      <c r="A257" s="69" t="inlineStr">
        <is>
          <t>Multi-Zone AH</t>
        </is>
      </c>
      <c r="B257" s="69" t="inlineStr">
        <is>
          <t>CMXV Multi-Zone Air Handler 12k</t>
        </is>
      </c>
      <c r="C257" s="69" t="inlineStr">
        <is>
          <t>CMXV12AVJUA</t>
        </is>
      </c>
      <c r="D257" s="69" t="inlineStr">
        <is>
          <t>12k</t>
        </is>
      </c>
      <c r="E257" s="69" t="inlineStr">
        <is>
          <t>VS</t>
        </is>
      </c>
      <c r="F257" s="69" t="inlineStr">
        <is>
          <t>R-32</t>
        </is>
      </c>
      <c r="G257" s="70" t="inlineStr">
        <is>
          <t>$1,368</t>
        </is>
      </c>
      <c r="H257" s="69" t="inlineStr">
        <is>
          <t>12-yr parts w/ reg</t>
        </is>
      </c>
    </row>
    <row r="258" ht="15" customHeight="1" s="30">
      <c r="A258" s="67" t="inlineStr">
        <is>
          <t>Multi-Zone AH</t>
        </is>
      </c>
      <c r="B258" s="67" t="inlineStr">
        <is>
          <t>CMXV Multi-Zone Air Handler 18k</t>
        </is>
      </c>
      <c r="C258" s="67" t="inlineStr">
        <is>
          <t>CMXV18AVJUA</t>
        </is>
      </c>
      <c r="D258" s="67" t="inlineStr">
        <is>
          <t>18k</t>
        </is>
      </c>
      <c r="E258" s="67" t="inlineStr">
        <is>
          <t>VS</t>
        </is>
      </c>
      <c r="F258" s="67" t="inlineStr">
        <is>
          <t>R-32</t>
        </is>
      </c>
      <c r="G258" s="68" t="inlineStr">
        <is>
          <t>$1,469</t>
        </is>
      </c>
      <c r="H258" s="67" t="inlineStr"/>
    </row>
    <row r="259" ht="15" customHeight="1" s="30">
      <c r="A259" s="69" t="inlineStr">
        <is>
          <t>Multi-Zone AH</t>
        </is>
      </c>
      <c r="B259" s="69" t="inlineStr">
        <is>
          <t>CMXV Multi-Zone Air Handler 24k</t>
        </is>
      </c>
      <c r="C259" s="69" t="inlineStr">
        <is>
          <t>CMXV24AVJUA</t>
        </is>
      </c>
      <c r="D259" s="69" t="inlineStr">
        <is>
          <t>24k</t>
        </is>
      </c>
      <c r="E259" s="69" t="inlineStr">
        <is>
          <t>VS</t>
        </is>
      </c>
      <c r="F259" s="69" t="inlineStr">
        <is>
          <t>R-32</t>
        </is>
      </c>
      <c r="G259" s="70" t="inlineStr">
        <is>
          <t>$1,575</t>
        </is>
      </c>
      <c r="H259" s="69" t="inlineStr"/>
    </row>
  </sheetData>
  <mergeCells count="10">
    <mergeCell ref="A229:H229"/>
    <mergeCell ref="A244:H244"/>
    <mergeCell ref="A3:H3"/>
    <mergeCell ref="A130:H130"/>
    <mergeCell ref="A156:H156"/>
    <mergeCell ref="A191:H191"/>
    <mergeCell ref="A68:H68"/>
    <mergeCell ref="A108:H108"/>
    <mergeCell ref="A1:H1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style="30" min="1" max="1"/>
    <col width="9" customWidth="1" style="30" min="2" max="2"/>
    <col width="15" customWidth="1" style="30" min="3" max="3"/>
    <col width="15" customWidth="1" style="30" min="4" max="4"/>
    <col width="15" customWidth="1" style="30" min="5" max="5"/>
    <col width="14" customWidth="1" style="30" min="6" max="6"/>
    <col width="14" customWidth="1" style="30" min="7" max="7"/>
    <col width="14" customWidth="1" style="30" min="8" max="8"/>
    <col width="14" customWidth="1" style="30" min="9" max="9"/>
    <col width="12" customWidth="1" style="30" min="10" max="10"/>
    <col width="11" customWidth="1" style="30" min="11" max="11"/>
    <col width="11" customWidth="1" style="30" min="12" max="12"/>
    <col width="8" customWidth="1" style="30" min="13" max="13"/>
    <col width="10" customWidth="1" style="30" min="14" max="14"/>
    <col width="13" customWidth="1" style="30" min="15" max="15"/>
    <col width="11" customWidth="1" style="30" min="16" max="16"/>
    <col width="9" customWidth="1" style="30" min="17" max="17"/>
    <col width="12" customWidth="1" style="30" min="18" max="18"/>
  </cols>
  <sheetData>
    <row r="1" ht="18" customHeight="1" s="30">
      <c r="A1" s="82" t="inlineStr">
        <is>
          <t>CM Heating Acct #2300 · Goodman R-32 VALUE Tier · Thermal Supply · Price sheet 05/24/2026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1" t="n"/>
    </row>
    <row r="2" ht="14" customHeight="1" s="30">
      <c r="A2" s="83" t="inlineStr">
        <is>
          <t>Payment ratio: $259.99/$21,499 = 1.2093%/mo · Residual = MSRP×(180−N)/180 · MSRP = same tiers as Ameristar VALUE (adjust per CM Heating CaaS contract) · Heat kit est. $198 (confirm HKTSD-208/240-1 actual cost)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1" t="n"/>
    </row>
    <row r="3" ht="22" customHeight="1" s="30">
      <c r="A3" s="73" t="inlineStr">
        <is>
          <t>Job Type</t>
        </is>
      </c>
      <c r="B3" s="73" t="inlineStr">
        <is>
          <t>Size</t>
        </is>
      </c>
      <c r="C3" s="73" t="inlineStr">
        <is>
          <t>HP Model</t>
        </is>
      </c>
      <c r="D3" s="73" t="inlineStr">
        <is>
          <t>AC Model</t>
        </is>
      </c>
      <c r="E3" s="73" t="inlineStr">
        <is>
          <t>AH Model</t>
        </is>
      </c>
      <c r="F3" s="73" t="inlineStr">
        <is>
          <t>Furn Model</t>
        </is>
      </c>
      <c r="G3" s="73" t="inlineStr">
        <is>
          <t>Coil Model</t>
        </is>
      </c>
      <c r="H3" s="73" t="inlineStr">
        <is>
          <t>HS Model</t>
        </is>
      </c>
      <c r="I3" s="73" t="inlineStr">
        <is>
          <t>Thermo</t>
        </is>
      </c>
      <c r="J3" s="73" t="inlineStr">
        <is>
          <t>IAQ</t>
        </is>
      </c>
      <c r="K3" s="73" t="inlineStr">
        <is>
          <t>Equip Cost</t>
        </is>
      </c>
      <c r="L3" s="73" t="inlineStr">
        <is>
          <t>Labor</t>
        </is>
      </c>
      <c r="M3" s="73" t="inlineStr">
        <is>
          <t>Permit</t>
        </is>
      </c>
      <c r="N3" s="73" t="inlineStr">
        <is>
          <t>Spiff</t>
        </is>
      </c>
      <c r="O3" s="73" t="inlineStr">
        <is>
          <t>Total Job Cost</t>
        </is>
      </c>
      <c r="P3" s="73" t="inlineStr">
        <is>
          <t>MSRP</t>
        </is>
      </c>
      <c r="Q3" s="73" t="inlineStr">
        <is>
          <t>CaaS/mo</t>
        </is>
      </c>
      <c r="R3" s="73" t="inlineStr">
        <is>
          <t>Resid @ mo96</t>
        </is>
      </c>
    </row>
    <row r="4" ht="16" customHeight="1" s="30">
      <c r="A4" s="84" t="inlineStr">
        <is>
          <t>FURNACE ONLY (GF) — GR9S800x SS 80% AFUE Single Stage · BTU sizing · Permit $100 · 12% spiff</t>
        </is>
      </c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</row>
    <row r="5" ht="14" customHeight="1" s="30">
      <c r="A5" s="85" t="inlineStr">
        <is>
          <t>GF</t>
        </is>
      </c>
      <c r="B5" s="85" t="inlineStr">
        <is>
          <t>40k</t>
        </is>
      </c>
      <c r="C5" s="85" t="inlineStr">
        <is>
          <t>-</t>
        </is>
      </c>
      <c r="D5" s="85" t="inlineStr">
        <is>
          <t>-</t>
        </is>
      </c>
      <c r="E5" s="85" t="inlineStr">
        <is>
          <t>-</t>
        </is>
      </c>
      <c r="F5" s="85" t="inlineStr">
        <is>
          <t>GR9S80-40k</t>
        </is>
      </c>
      <c r="G5" s="85" t="inlineStr">
        <is>
          <t>-</t>
        </is>
      </c>
      <c r="H5" s="85" t="inlineStr">
        <is>
          <t>-</t>
        </is>
      </c>
      <c r="I5" s="85" t="inlineStr">
        <is>
          <t>T-6 ($79)</t>
        </is>
      </c>
      <c r="J5" s="85" t="inlineStr">
        <is>
          <t>1" filter ($0)</t>
        </is>
      </c>
      <c r="K5" s="86" t="n">
        <v>678</v>
      </c>
      <c r="L5" s="86" t="n">
        <v>896.52</v>
      </c>
      <c r="M5" s="86" t="n">
        <v>100</v>
      </c>
      <c r="N5" s="86" t="n">
        <v>990</v>
      </c>
      <c r="O5" s="86" t="n">
        <v>1674.52</v>
      </c>
      <c r="P5" s="86" t="n">
        <v>8249</v>
      </c>
      <c r="Q5" s="86" t="n">
        <v>100</v>
      </c>
      <c r="R5" s="86" t="n">
        <v>3850</v>
      </c>
    </row>
    <row r="6" ht="14" customHeight="1" s="30">
      <c r="A6" s="88" t="inlineStr">
        <is>
          <t>GF</t>
        </is>
      </c>
      <c r="B6" s="88" t="inlineStr">
        <is>
          <t>60k</t>
        </is>
      </c>
      <c r="C6" s="88" t="inlineStr">
        <is>
          <t>-</t>
        </is>
      </c>
      <c r="D6" s="88" t="inlineStr">
        <is>
          <t>-</t>
        </is>
      </c>
      <c r="E6" s="88" t="inlineStr">
        <is>
          <t>-</t>
        </is>
      </c>
      <c r="F6" s="88" t="inlineStr">
        <is>
          <t>GR9S80-60k</t>
        </is>
      </c>
      <c r="G6" s="88" t="inlineStr">
        <is>
          <t>-</t>
        </is>
      </c>
      <c r="H6" s="88" t="inlineStr">
        <is>
          <t>-</t>
        </is>
      </c>
      <c r="I6" s="88" t="inlineStr">
        <is>
          <t>T-6 ($79)</t>
        </is>
      </c>
      <c r="J6" s="88" t="inlineStr">
        <is>
          <t>1" filter ($0)</t>
        </is>
      </c>
      <c r="K6" s="89" t="n">
        <v>719</v>
      </c>
      <c r="L6" s="89" t="n">
        <v>896.52</v>
      </c>
      <c r="M6" s="89" t="n">
        <v>100</v>
      </c>
      <c r="N6" s="89" t="n">
        <v>990</v>
      </c>
      <c r="O6" s="89" t="n">
        <v>1715.52</v>
      </c>
      <c r="P6" s="89" t="n">
        <v>8249</v>
      </c>
      <c r="Q6" s="89" t="n">
        <v>100</v>
      </c>
      <c r="R6" s="89" t="n">
        <v>3850</v>
      </c>
    </row>
    <row r="7" ht="14" customHeight="1" s="30">
      <c r="A7" s="85" t="inlineStr">
        <is>
          <t>GF</t>
        </is>
      </c>
      <c r="B7" s="85" t="inlineStr">
        <is>
          <t>80k</t>
        </is>
      </c>
      <c r="C7" s="85" t="inlineStr">
        <is>
          <t>-</t>
        </is>
      </c>
      <c r="D7" s="85" t="inlineStr">
        <is>
          <t>-</t>
        </is>
      </c>
      <c r="E7" s="85" t="inlineStr">
        <is>
          <t>-</t>
        </is>
      </c>
      <c r="F7" s="85" t="inlineStr">
        <is>
          <t>GR9S80-80k</t>
        </is>
      </c>
      <c r="G7" s="85" t="inlineStr">
        <is>
          <t>-</t>
        </is>
      </c>
      <c r="H7" s="85" t="inlineStr">
        <is>
          <t>-</t>
        </is>
      </c>
      <c r="I7" s="85" t="inlineStr">
        <is>
          <t>T-6 ($79)</t>
        </is>
      </c>
      <c r="J7" s="85" t="inlineStr">
        <is>
          <t>1" filter ($0)</t>
        </is>
      </c>
      <c r="K7" s="86" t="n">
        <v>752</v>
      </c>
      <c r="L7" s="86" t="n">
        <v>896.52</v>
      </c>
      <c r="M7" s="86" t="n">
        <v>100</v>
      </c>
      <c r="N7" s="86" t="n">
        <v>1020</v>
      </c>
      <c r="O7" s="86" t="n">
        <v>1748.52</v>
      </c>
      <c r="P7" s="86" t="n">
        <v>8499</v>
      </c>
      <c r="Q7" s="86" t="n">
        <v>103</v>
      </c>
      <c r="R7" s="86" t="n">
        <v>3966</v>
      </c>
    </row>
    <row r="8" ht="14" customHeight="1" s="30">
      <c r="A8" s="88" t="inlineStr">
        <is>
          <t>GF</t>
        </is>
      </c>
      <c r="B8" s="88" t="inlineStr">
        <is>
          <t>100k</t>
        </is>
      </c>
      <c r="C8" s="88" t="inlineStr">
        <is>
          <t>-</t>
        </is>
      </c>
      <c r="D8" s="88" t="inlineStr">
        <is>
          <t>-</t>
        </is>
      </c>
      <c r="E8" s="88" t="inlineStr">
        <is>
          <t>-</t>
        </is>
      </c>
      <c r="F8" s="88" t="inlineStr">
        <is>
          <t>GR9S80-100k</t>
        </is>
      </c>
      <c r="G8" s="88" t="inlineStr">
        <is>
          <t>-</t>
        </is>
      </c>
      <c r="H8" s="88" t="inlineStr">
        <is>
          <t>-</t>
        </is>
      </c>
      <c r="I8" s="88" t="inlineStr">
        <is>
          <t>T-6 ($79)</t>
        </is>
      </c>
      <c r="J8" s="88" t="inlineStr">
        <is>
          <t>1" filter ($0)</t>
        </is>
      </c>
      <c r="K8" s="89" t="n">
        <v>868</v>
      </c>
      <c r="L8" s="89" t="n">
        <v>896.52</v>
      </c>
      <c r="M8" s="89" t="n">
        <v>100</v>
      </c>
      <c r="N8" s="89" t="n">
        <v>1020</v>
      </c>
      <c r="O8" s="89" t="n">
        <v>1864.52</v>
      </c>
      <c r="P8" s="89" t="n">
        <v>8499</v>
      </c>
      <c r="Q8" s="89" t="n">
        <v>103</v>
      </c>
      <c r="R8" s="89" t="n">
        <v>3966</v>
      </c>
    </row>
    <row r="9" ht="14" customHeight="1" s="30">
      <c r="A9" s="85" t="inlineStr">
        <is>
          <t>GF</t>
        </is>
      </c>
      <c r="B9" s="85" t="inlineStr">
        <is>
          <t>120k</t>
        </is>
      </c>
      <c r="C9" s="85" t="inlineStr">
        <is>
          <t>-</t>
        </is>
      </c>
      <c r="D9" s="85" t="inlineStr">
        <is>
          <t>-</t>
        </is>
      </c>
      <c r="E9" s="85" t="inlineStr">
        <is>
          <t>-</t>
        </is>
      </c>
      <c r="F9" s="85" t="inlineStr">
        <is>
          <t>GR9S80-120k</t>
        </is>
      </c>
      <c r="G9" s="85" t="inlineStr">
        <is>
          <t>-</t>
        </is>
      </c>
      <c r="H9" s="85" t="inlineStr">
        <is>
          <t>-</t>
        </is>
      </c>
      <c r="I9" s="85" t="inlineStr">
        <is>
          <t>T-6 ($79)</t>
        </is>
      </c>
      <c r="J9" s="85" t="inlineStr">
        <is>
          <t>1" filter ($0)</t>
        </is>
      </c>
      <c r="K9" s="86" t="n">
        <v>987</v>
      </c>
      <c r="L9" s="86" t="n">
        <v>896.52</v>
      </c>
      <c r="M9" s="86" t="n">
        <v>100</v>
      </c>
      <c r="N9" s="86" t="n">
        <v>1020</v>
      </c>
      <c r="O9" s="86" t="n">
        <v>1983.52</v>
      </c>
      <c r="P9" s="86" t="n">
        <v>8499</v>
      </c>
      <c r="Q9" s="86" t="n">
        <v>103</v>
      </c>
      <c r="R9" s="86" t="n">
        <v>3966</v>
      </c>
    </row>
    <row r="11" ht="16" customHeight="1" s="30">
      <c r="A11" s="84" t="inlineStr">
        <is>
          <t>HEAT PUMP + COIL (HP) — GLZS4B 15.2 SEER2 + CAPFA-R32 Piston Coil · Permit $169.95 · 12% spiff</t>
        </is>
      </c>
      <c r="B11" s="80" t="n"/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1" t="n"/>
    </row>
    <row r="12" ht="14" customHeight="1" s="30">
      <c r="A12" s="85" t="inlineStr">
        <is>
          <t>HP</t>
        </is>
      </c>
      <c r="B12" s="85" t="inlineStr">
        <is>
          <t>2T</t>
        </is>
      </c>
      <c r="C12" s="85" t="inlineStr">
        <is>
          <t>GLZS4B-2T</t>
        </is>
      </c>
      <c r="D12" s="85" t="inlineStr">
        <is>
          <t>-</t>
        </is>
      </c>
      <c r="E12" s="85" t="inlineStr">
        <is>
          <t>-</t>
        </is>
      </c>
      <c r="F12" s="85" t="inlineStr">
        <is>
          <t>-</t>
        </is>
      </c>
      <c r="G12" s="85" t="inlineStr">
        <is>
          <t>CAPFA-R32</t>
        </is>
      </c>
      <c r="H12" s="85" t="inlineStr">
        <is>
          <t>-</t>
        </is>
      </c>
      <c r="I12" s="85" t="inlineStr">
        <is>
          <t>T-6 ($79)</t>
        </is>
      </c>
      <c r="J12" s="85" t="inlineStr">
        <is>
          <t>1" filter ($0)</t>
        </is>
      </c>
      <c r="K12" s="86" t="n">
        <v>1628</v>
      </c>
      <c r="L12" s="86" t="n">
        <v>1593.03</v>
      </c>
      <c r="M12" s="86" t="n">
        <v>169.95</v>
      </c>
      <c r="N12" s="86" t="n">
        <v>1920</v>
      </c>
      <c r="O12" s="86" t="n">
        <v>3390.98</v>
      </c>
      <c r="P12" s="86" t="n">
        <v>15999</v>
      </c>
      <c r="Q12" s="86" t="n">
        <v>193</v>
      </c>
      <c r="R12" s="86" t="n">
        <v>7466</v>
      </c>
    </row>
    <row r="13" ht="14" customHeight="1" s="30">
      <c r="A13" s="88" t="inlineStr">
        <is>
          <t>HP</t>
        </is>
      </c>
      <c r="B13" s="88" t="inlineStr">
        <is>
          <t>2.5T</t>
        </is>
      </c>
      <c r="C13" s="88" t="inlineStr">
        <is>
          <t>GLZS4B-2.5T</t>
        </is>
      </c>
      <c r="D13" s="88" t="inlineStr">
        <is>
          <t>-</t>
        </is>
      </c>
      <c r="E13" s="88" t="inlineStr">
        <is>
          <t>-</t>
        </is>
      </c>
      <c r="F13" s="88" t="inlineStr">
        <is>
          <t>-</t>
        </is>
      </c>
      <c r="G13" s="88" t="inlineStr">
        <is>
          <t>CAPFA-R32</t>
        </is>
      </c>
      <c r="H13" s="88" t="inlineStr">
        <is>
          <t>-</t>
        </is>
      </c>
      <c r="I13" s="88" t="inlineStr">
        <is>
          <t>T-6 ($79)</t>
        </is>
      </c>
      <c r="J13" s="88" t="inlineStr">
        <is>
          <t>1" filter ($0)</t>
        </is>
      </c>
      <c r="K13" s="89" t="n">
        <v>1888</v>
      </c>
      <c r="L13" s="89" t="n">
        <v>1593.03</v>
      </c>
      <c r="M13" s="89" t="n">
        <v>169.95</v>
      </c>
      <c r="N13" s="89" t="n">
        <v>1950</v>
      </c>
      <c r="O13" s="89" t="n">
        <v>3650.98</v>
      </c>
      <c r="P13" s="89" t="n">
        <v>16249</v>
      </c>
      <c r="Q13" s="89" t="n">
        <v>196</v>
      </c>
      <c r="R13" s="89" t="n">
        <v>7583</v>
      </c>
    </row>
    <row r="14" ht="14" customHeight="1" s="30">
      <c r="A14" s="85" t="inlineStr">
        <is>
          <t>HP</t>
        </is>
      </c>
      <c r="B14" s="85" t="inlineStr">
        <is>
          <t>3T</t>
        </is>
      </c>
      <c r="C14" s="85" t="inlineStr">
        <is>
          <t>GLZS4B-3T</t>
        </is>
      </c>
      <c r="D14" s="85" t="inlineStr">
        <is>
          <t>-</t>
        </is>
      </c>
      <c r="E14" s="85" t="inlineStr">
        <is>
          <t>-</t>
        </is>
      </c>
      <c r="F14" s="85" t="inlineStr">
        <is>
          <t>-</t>
        </is>
      </c>
      <c r="G14" s="85" t="inlineStr">
        <is>
          <t>CAPFA-R32</t>
        </is>
      </c>
      <c r="H14" s="85" t="inlineStr">
        <is>
          <t>-</t>
        </is>
      </c>
      <c r="I14" s="85" t="inlineStr">
        <is>
          <t>T-6 ($79)</t>
        </is>
      </c>
      <c r="J14" s="85" t="inlineStr">
        <is>
          <t>1" filter ($0)</t>
        </is>
      </c>
      <c r="K14" s="86" t="n">
        <v>2098</v>
      </c>
      <c r="L14" s="86" t="n">
        <v>1593.03</v>
      </c>
      <c r="M14" s="86" t="n">
        <v>169.95</v>
      </c>
      <c r="N14" s="86" t="n">
        <v>1950</v>
      </c>
      <c r="O14" s="86" t="n">
        <v>3860.98</v>
      </c>
      <c r="P14" s="86" t="n">
        <v>16249</v>
      </c>
      <c r="Q14" s="86" t="n">
        <v>196</v>
      </c>
      <c r="R14" s="86" t="n">
        <v>7583</v>
      </c>
    </row>
    <row r="15" ht="14" customHeight="1" s="30">
      <c r="A15" s="88" t="inlineStr">
        <is>
          <t>HP</t>
        </is>
      </c>
      <c r="B15" s="88" t="inlineStr">
        <is>
          <t>3.5T</t>
        </is>
      </c>
      <c r="C15" s="88" t="inlineStr">
        <is>
          <t>GLZS4B-3.5T</t>
        </is>
      </c>
      <c r="D15" s="88" t="inlineStr">
        <is>
          <t>-</t>
        </is>
      </c>
      <c r="E15" s="88" t="inlineStr">
        <is>
          <t>-</t>
        </is>
      </c>
      <c r="F15" s="88" t="inlineStr">
        <is>
          <t>-</t>
        </is>
      </c>
      <c r="G15" s="88" t="inlineStr">
        <is>
          <t>CAPFA-R32</t>
        </is>
      </c>
      <c r="H15" s="88" t="inlineStr">
        <is>
          <t>-</t>
        </is>
      </c>
      <c r="I15" s="88" t="inlineStr">
        <is>
          <t>T-6 ($79)</t>
        </is>
      </c>
      <c r="J15" s="88" t="inlineStr">
        <is>
          <t>1" filter ($0)</t>
        </is>
      </c>
      <c r="K15" s="89" t="n">
        <v>2248</v>
      </c>
      <c r="L15" s="89" t="n">
        <v>1593.03</v>
      </c>
      <c r="M15" s="89" t="n">
        <v>169.95</v>
      </c>
      <c r="N15" s="89" t="n">
        <v>1980</v>
      </c>
      <c r="O15" s="89" t="n">
        <v>4010.98</v>
      </c>
      <c r="P15" s="89" t="n">
        <v>16499</v>
      </c>
      <c r="Q15" s="89" t="n">
        <v>200</v>
      </c>
      <c r="R15" s="89" t="n">
        <v>7700</v>
      </c>
    </row>
    <row r="16" ht="14" customHeight="1" s="30">
      <c r="A16" s="85" t="inlineStr">
        <is>
          <t>HP</t>
        </is>
      </c>
      <c r="B16" s="85" t="inlineStr">
        <is>
          <t>4T</t>
        </is>
      </c>
      <c r="C16" s="85" t="inlineStr">
        <is>
          <t>GLZS4B-4T</t>
        </is>
      </c>
      <c r="D16" s="85" t="inlineStr">
        <is>
          <t>-</t>
        </is>
      </c>
      <c r="E16" s="85" t="inlineStr">
        <is>
          <t>-</t>
        </is>
      </c>
      <c r="F16" s="85" t="inlineStr">
        <is>
          <t>-</t>
        </is>
      </c>
      <c r="G16" s="85" t="inlineStr">
        <is>
          <t>CAPFA-R32</t>
        </is>
      </c>
      <c r="H16" s="85" t="inlineStr">
        <is>
          <t>-</t>
        </is>
      </c>
      <c r="I16" s="85" t="inlineStr">
        <is>
          <t>T-6 ($79)</t>
        </is>
      </c>
      <c r="J16" s="85" t="inlineStr">
        <is>
          <t>1" filter ($0)</t>
        </is>
      </c>
      <c r="K16" s="86" t="n">
        <v>2479</v>
      </c>
      <c r="L16" s="86" t="n">
        <v>1593.03</v>
      </c>
      <c r="M16" s="86" t="n">
        <v>169.95</v>
      </c>
      <c r="N16" s="86" t="n">
        <v>2010</v>
      </c>
      <c r="O16" s="86" t="n">
        <v>4241.98</v>
      </c>
      <c r="P16" s="86" t="n">
        <v>16749</v>
      </c>
      <c r="Q16" s="86" t="n">
        <v>203</v>
      </c>
      <c r="R16" s="86" t="n">
        <v>7816</v>
      </c>
    </row>
    <row r="17" ht="14" customHeight="1" s="30">
      <c r="A17" s="88" t="inlineStr">
        <is>
          <t>HP</t>
        </is>
      </c>
      <c r="B17" s="88" t="inlineStr">
        <is>
          <t>5T</t>
        </is>
      </c>
      <c r="C17" s="88" t="inlineStr">
        <is>
          <t>GLZS4B-5T</t>
        </is>
      </c>
      <c r="D17" s="88" t="inlineStr">
        <is>
          <t>-</t>
        </is>
      </c>
      <c r="E17" s="88" t="inlineStr">
        <is>
          <t>-</t>
        </is>
      </c>
      <c r="F17" s="88" t="inlineStr">
        <is>
          <t>-</t>
        </is>
      </c>
      <c r="G17" s="88" t="inlineStr">
        <is>
          <t>CAPFA-R32</t>
        </is>
      </c>
      <c r="H17" s="88" t="inlineStr">
        <is>
          <t>-</t>
        </is>
      </c>
      <c r="I17" s="88" t="inlineStr">
        <is>
          <t>T-6 ($79)</t>
        </is>
      </c>
      <c r="J17" s="88" t="inlineStr">
        <is>
          <t>1" filter ($0)</t>
        </is>
      </c>
      <c r="K17" s="89" t="n">
        <v>2800</v>
      </c>
      <c r="L17" s="89" t="n">
        <v>1593.03</v>
      </c>
      <c r="M17" s="89" t="n">
        <v>169.95</v>
      </c>
      <c r="N17" s="89" t="n">
        <v>2040</v>
      </c>
      <c r="O17" s="89" t="n">
        <v>4562.98</v>
      </c>
      <c r="P17" s="89" t="n">
        <v>16999</v>
      </c>
      <c r="Q17" s="89" t="n">
        <v>206</v>
      </c>
      <c r="R17" s="89" t="n">
        <v>7933</v>
      </c>
    </row>
    <row r="19" ht="16" customHeight="1" s="30">
      <c r="A19" s="84" t="inlineStr">
        <is>
          <t>AC ONLY (AC) — GLXS3B 15 SEER2 + CAPFA-R32 Piston Coil · Permit $169.95 · $250 FLAT spiff</t>
        </is>
      </c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</row>
    <row r="20" ht="14" customHeight="1" s="30">
      <c r="A20" s="85" t="inlineStr">
        <is>
          <t>AC</t>
        </is>
      </c>
      <c r="B20" s="85" t="inlineStr">
        <is>
          <t>2T</t>
        </is>
      </c>
      <c r="C20" s="85" t="inlineStr">
        <is>
          <t>-</t>
        </is>
      </c>
      <c r="D20" s="85" t="inlineStr">
        <is>
          <t>GLXS3B-2T</t>
        </is>
      </c>
      <c r="E20" s="85" t="inlineStr">
        <is>
          <t>-</t>
        </is>
      </c>
      <c r="F20" s="85" t="inlineStr">
        <is>
          <t>-</t>
        </is>
      </c>
      <c r="G20" s="85" t="inlineStr">
        <is>
          <t>CAPFA-R32</t>
        </is>
      </c>
      <c r="H20" s="85" t="inlineStr">
        <is>
          <t>-</t>
        </is>
      </c>
      <c r="I20" s="85" t="inlineStr">
        <is>
          <t>T-6 ($79)</t>
        </is>
      </c>
      <c r="J20" s="85" t="inlineStr">
        <is>
          <t>1" filter ($0)</t>
        </is>
      </c>
      <c r="K20" s="86" t="n">
        <v>1323</v>
      </c>
      <c r="L20" s="86" t="n">
        <v>1593.03</v>
      </c>
      <c r="M20" s="86" t="n">
        <v>169.95</v>
      </c>
      <c r="N20" s="86" t="n">
        <v>250</v>
      </c>
      <c r="O20" s="86" t="n">
        <v>3085.98</v>
      </c>
      <c r="P20" s="86" t="n">
        <v>14749</v>
      </c>
      <c r="Q20" s="86" t="n">
        <v>178</v>
      </c>
      <c r="R20" s="86" t="n">
        <v>6883</v>
      </c>
    </row>
    <row r="21" ht="14" customHeight="1" s="30">
      <c r="A21" s="88" t="inlineStr">
        <is>
          <t>AC</t>
        </is>
      </c>
      <c r="B21" s="88" t="inlineStr">
        <is>
          <t>2.5T</t>
        </is>
      </c>
      <c r="C21" s="88" t="inlineStr">
        <is>
          <t>-</t>
        </is>
      </c>
      <c r="D21" s="88" t="inlineStr">
        <is>
          <t>GLXS3B-2.5T</t>
        </is>
      </c>
      <c r="E21" s="88" t="inlineStr">
        <is>
          <t>-</t>
        </is>
      </c>
      <c r="F21" s="88" t="inlineStr">
        <is>
          <t>-</t>
        </is>
      </c>
      <c r="G21" s="88" t="inlineStr">
        <is>
          <t>CAPFA-R32</t>
        </is>
      </c>
      <c r="H21" s="88" t="inlineStr">
        <is>
          <t>-</t>
        </is>
      </c>
      <c r="I21" s="88" t="inlineStr">
        <is>
          <t>T-6 ($79)</t>
        </is>
      </c>
      <c r="J21" s="88" t="inlineStr">
        <is>
          <t>1" filter ($0)</t>
        </is>
      </c>
      <c r="K21" s="89" t="n">
        <v>1434</v>
      </c>
      <c r="L21" s="89" t="n">
        <v>1593.03</v>
      </c>
      <c r="M21" s="89" t="n">
        <v>169.95</v>
      </c>
      <c r="N21" s="89" t="n">
        <v>250</v>
      </c>
      <c r="O21" s="89" t="n">
        <v>3196.98</v>
      </c>
      <c r="P21" s="89" t="n">
        <v>14999</v>
      </c>
      <c r="Q21" s="89" t="n">
        <v>181</v>
      </c>
      <c r="R21" s="89" t="n">
        <v>7000</v>
      </c>
    </row>
    <row r="22" ht="14" customHeight="1" s="30">
      <c r="A22" s="85" t="inlineStr">
        <is>
          <t>AC</t>
        </is>
      </c>
      <c r="B22" s="85" t="inlineStr">
        <is>
          <t>3T</t>
        </is>
      </c>
      <c r="C22" s="85" t="inlineStr">
        <is>
          <t>-</t>
        </is>
      </c>
      <c r="D22" s="85" t="inlineStr">
        <is>
          <t>GLXS3B-3T</t>
        </is>
      </c>
      <c r="E22" s="85" t="inlineStr">
        <is>
          <t>-</t>
        </is>
      </c>
      <c r="F22" s="85" t="inlineStr">
        <is>
          <t>-</t>
        </is>
      </c>
      <c r="G22" s="85" t="inlineStr">
        <is>
          <t>CAPFA-R32</t>
        </is>
      </c>
      <c r="H22" s="85" t="inlineStr">
        <is>
          <t>-</t>
        </is>
      </c>
      <c r="I22" s="85" t="inlineStr">
        <is>
          <t>T-6 ($79)</t>
        </is>
      </c>
      <c r="J22" s="85" t="inlineStr">
        <is>
          <t>1" filter ($0)</t>
        </is>
      </c>
      <c r="K22" s="86" t="n">
        <v>1556</v>
      </c>
      <c r="L22" s="86" t="n">
        <v>1593.03</v>
      </c>
      <c r="M22" s="86" t="n">
        <v>169.95</v>
      </c>
      <c r="N22" s="86" t="n">
        <v>250</v>
      </c>
      <c r="O22" s="86" t="n">
        <v>3318.98</v>
      </c>
      <c r="P22" s="86" t="n">
        <v>14999</v>
      </c>
      <c r="Q22" s="86" t="n">
        <v>181</v>
      </c>
      <c r="R22" s="86" t="n">
        <v>7000</v>
      </c>
    </row>
    <row r="23" ht="14" customHeight="1" s="30">
      <c r="A23" s="88" t="inlineStr">
        <is>
          <t>AC</t>
        </is>
      </c>
      <c r="B23" s="88" t="inlineStr">
        <is>
          <t>3.5T</t>
        </is>
      </c>
      <c r="C23" s="88" t="inlineStr">
        <is>
          <t>-</t>
        </is>
      </c>
      <c r="D23" s="88" t="inlineStr">
        <is>
          <t>GLXS3B-3.5T</t>
        </is>
      </c>
      <c r="E23" s="88" t="inlineStr">
        <is>
          <t>-</t>
        </is>
      </c>
      <c r="F23" s="88" t="inlineStr">
        <is>
          <t>-</t>
        </is>
      </c>
      <c r="G23" s="88" t="inlineStr">
        <is>
          <t>CAPFA-R32</t>
        </is>
      </c>
      <c r="H23" s="88" t="inlineStr">
        <is>
          <t>-</t>
        </is>
      </c>
      <c r="I23" s="88" t="inlineStr">
        <is>
          <t>T-6 ($79)</t>
        </is>
      </c>
      <c r="J23" s="88" t="inlineStr">
        <is>
          <t>1" filter ($0)</t>
        </is>
      </c>
      <c r="K23" s="89" t="n">
        <v>1716</v>
      </c>
      <c r="L23" s="89" t="n">
        <v>1593.03</v>
      </c>
      <c r="M23" s="89" t="n">
        <v>169.95</v>
      </c>
      <c r="N23" s="89" t="n">
        <v>250</v>
      </c>
      <c r="O23" s="89" t="n">
        <v>3478.98</v>
      </c>
      <c r="P23" s="89" t="n">
        <v>15249</v>
      </c>
      <c r="Q23" s="89" t="n">
        <v>184</v>
      </c>
      <c r="R23" s="89" t="n">
        <v>7116</v>
      </c>
    </row>
    <row r="24" ht="14" customHeight="1" s="30">
      <c r="A24" s="85" t="inlineStr">
        <is>
          <t>AC</t>
        </is>
      </c>
      <c r="B24" s="85" t="inlineStr">
        <is>
          <t>4T</t>
        </is>
      </c>
      <c r="C24" s="85" t="inlineStr">
        <is>
          <t>-</t>
        </is>
      </c>
      <c r="D24" s="85" t="inlineStr">
        <is>
          <t>GLXS3B-4T</t>
        </is>
      </c>
      <c r="E24" s="85" t="inlineStr">
        <is>
          <t>-</t>
        </is>
      </c>
      <c r="F24" s="85" t="inlineStr">
        <is>
          <t>-</t>
        </is>
      </c>
      <c r="G24" s="85" t="inlineStr">
        <is>
          <t>CAPFA-R32</t>
        </is>
      </c>
      <c r="H24" s="85" t="inlineStr">
        <is>
          <t>-</t>
        </is>
      </c>
      <c r="I24" s="85" t="inlineStr">
        <is>
          <t>T-6 ($79)</t>
        </is>
      </c>
      <c r="J24" s="85" t="inlineStr">
        <is>
          <t>1" filter ($0)</t>
        </is>
      </c>
      <c r="K24" s="86" t="n">
        <v>1881</v>
      </c>
      <c r="L24" s="86" t="n">
        <v>1593.03</v>
      </c>
      <c r="M24" s="86" t="n">
        <v>169.95</v>
      </c>
      <c r="N24" s="86" t="n">
        <v>250</v>
      </c>
      <c r="O24" s="86" t="n">
        <v>3643.98</v>
      </c>
      <c r="P24" s="86" t="n">
        <v>15499</v>
      </c>
      <c r="Q24" s="86" t="n">
        <v>187</v>
      </c>
      <c r="R24" s="86" t="n">
        <v>7233</v>
      </c>
    </row>
    <row r="25" ht="14" customHeight="1" s="30">
      <c r="A25" s="88" t="inlineStr">
        <is>
          <t>AC</t>
        </is>
      </c>
      <c r="B25" s="88" t="inlineStr">
        <is>
          <t>5T</t>
        </is>
      </c>
      <c r="C25" s="88" t="inlineStr">
        <is>
          <t>-</t>
        </is>
      </c>
      <c r="D25" s="88" t="inlineStr">
        <is>
          <t>GLXS3B-5T</t>
        </is>
      </c>
      <c r="E25" s="88" t="inlineStr">
        <is>
          <t>-</t>
        </is>
      </c>
      <c r="F25" s="88" t="inlineStr">
        <is>
          <t>-</t>
        </is>
      </c>
      <c r="G25" s="88" t="inlineStr">
        <is>
          <t>CAPFA-R32</t>
        </is>
      </c>
      <c r="H25" s="88" t="inlineStr">
        <is>
          <t>-</t>
        </is>
      </c>
      <c r="I25" s="88" t="inlineStr">
        <is>
          <t>T-6 ($79)</t>
        </is>
      </c>
      <c r="J25" s="88" t="inlineStr">
        <is>
          <t>1" filter ($0)</t>
        </is>
      </c>
      <c r="K25" s="89" t="n">
        <v>2063</v>
      </c>
      <c r="L25" s="89" t="n">
        <v>1593.03</v>
      </c>
      <c r="M25" s="89" t="n">
        <v>169.95</v>
      </c>
      <c r="N25" s="89" t="n">
        <v>250</v>
      </c>
      <c r="O25" s="89" t="n">
        <v>3825.98</v>
      </c>
      <c r="P25" s="89" t="n">
        <v>15749</v>
      </c>
      <c r="Q25" s="89" t="n">
        <v>190</v>
      </c>
      <c r="R25" s="89" t="n">
        <v>7350</v>
      </c>
    </row>
    <row r="27" ht="16" customHeight="1" s="30">
      <c r="A27" s="84" t="inlineStr">
        <is>
          <t>HP + AIR HANDLER (HPAH) — GLZS4B + AMST-R32 ECM + HKTSD-208/240-1 10kW Kit · Permit $169.95 · 12% spiff</t>
        </is>
      </c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1" t="n"/>
    </row>
    <row r="28" ht="14" customHeight="1" s="30">
      <c r="A28" s="85" t="inlineStr">
        <is>
          <t>HPAH</t>
        </is>
      </c>
      <c r="B28" s="85" t="inlineStr">
        <is>
          <t>2T</t>
        </is>
      </c>
      <c r="C28" s="85" t="inlineStr">
        <is>
          <t>GLZS4B-2T</t>
        </is>
      </c>
      <c r="D28" s="85" t="inlineStr">
        <is>
          <t>-</t>
        </is>
      </c>
      <c r="E28" s="85" t="inlineStr">
        <is>
          <t>AMST-2T</t>
        </is>
      </c>
      <c r="F28" s="85" t="inlineStr">
        <is>
          <t>-</t>
        </is>
      </c>
      <c r="G28" s="85" t="inlineStr">
        <is>
          <t>-</t>
        </is>
      </c>
      <c r="H28" s="85" t="inlineStr">
        <is>
          <t>HKTSD10kW</t>
        </is>
      </c>
      <c r="I28" s="85" t="inlineStr">
        <is>
          <t>T-6 ($79)</t>
        </is>
      </c>
      <c r="J28" s="85" t="inlineStr">
        <is>
          <t>1" filter ($0)</t>
        </is>
      </c>
      <c r="K28" s="86" t="n">
        <v>2278</v>
      </c>
      <c r="L28" s="86" t="n">
        <v>1593.03</v>
      </c>
      <c r="M28" s="86" t="n">
        <v>169.95</v>
      </c>
      <c r="N28" s="86" t="n">
        <v>2070</v>
      </c>
      <c r="O28" s="86" t="n">
        <v>4040.98</v>
      </c>
      <c r="P28" s="86" t="n">
        <v>17249</v>
      </c>
      <c r="Q28" s="86" t="n">
        <v>209</v>
      </c>
      <c r="R28" s="86" t="n">
        <v>8050</v>
      </c>
    </row>
    <row r="29" ht="14" customHeight="1" s="30">
      <c r="A29" s="88" t="inlineStr">
        <is>
          <t>HPAH</t>
        </is>
      </c>
      <c r="B29" s="88" t="inlineStr">
        <is>
          <t>2.5T</t>
        </is>
      </c>
      <c r="C29" s="88" t="inlineStr">
        <is>
          <t>GLZS4B-2.5T</t>
        </is>
      </c>
      <c r="D29" s="88" t="inlineStr">
        <is>
          <t>-</t>
        </is>
      </c>
      <c r="E29" s="88" t="inlineStr">
        <is>
          <t>AMST-2.5T</t>
        </is>
      </c>
      <c r="F29" s="88" t="inlineStr">
        <is>
          <t>-</t>
        </is>
      </c>
      <c r="G29" s="88" t="inlineStr">
        <is>
          <t>-</t>
        </is>
      </c>
      <c r="H29" s="88" t="inlineStr">
        <is>
          <t>HKTSD10kW</t>
        </is>
      </c>
      <c r="I29" s="88" t="inlineStr">
        <is>
          <t>T-6 ($79)</t>
        </is>
      </c>
      <c r="J29" s="88" t="inlineStr">
        <is>
          <t>1" filter ($0)</t>
        </is>
      </c>
      <c r="K29" s="89" t="n">
        <v>2497</v>
      </c>
      <c r="L29" s="89" t="n">
        <v>1593.03</v>
      </c>
      <c r="M29" s="89" t="n">
        <v>169.95</v>
      </c>
      <c r="N29" s="89" t="n">
        <v>2100</v>
      </c>
      <c r="O29" s="89" t="n">
        <v>4259.98</v>
      </c>
      <c r="P29" s="89" t="n">
        <v>17499</v>
      </c>
      <c r="Q29" s="89" t="n">
        <v>212</v>
      </c>
      <c r="R29" s="89" t="n">
        <v>8166</v>
      </c>
    </row>
    <row r="30" ht="14" customHeight="1" s="30">
      <c r="A30" s="85" t="inlineStr">
        <is>
          <t>HPAH</t>
        </is>
      </c>
      <c r="B30" s="85" t="inlineStr">
        <is>
          <t>3T</t>
        </is>
      </c>
      <c r="C30" s="85" t="inlineStr">
        <is>
          <t>GLZS4B-3T</t>
        </is>
      </c>
      <c r="D30" s="85" t="inlineStr">
        <is>
          <t>-</t>
        </is>
      </c>
      <c r="E30" s="85" t="inlineStr">
        <is>
          <t>AMST-3T</t>
        </is>
      </c>
      <c r="F30" s="85" t="inlineStr">
        <is>
          <t>-</t>
        </is>
      </c>
      <c r="G30" s="85" t="inlineStr">
        <is>
          <t>-</t>
        </is>
      </c>
      <c r="H30" s="85" t="inlineStr">
        <is>
          <t>HKTSD10kW</t>
        </is>
      </c>
      <c r="I30" s="85" t="inlineStr">
        <is>
          <t>T-6 ($79)</t>
        </is>
      </c>
      <c r="J30" s="85" t="inlineStr">
        <is>
          <t>1" filter ($0)</t>
        </is>
      </c>
      <c r="K30" s="86" t="n">
        <v>2756</v>
      </c>
      <c r="L30" s="86" t="n">
        <v>1593.03</v>
      </c>
      <c r="M30" s="86" t="n">
        <v>169.95</v>
      </c>
      <c r="N30" s="86" t="n">
        <v>2130</v>
      </c>
      <c r="O30" s="86" t="n">
        <v>4518.98</v>
      </c>
      <c r="P30" s="86" t="n">
        <v>17749</v>
      </c>
      <c r="Q30" s="86" t="n">
        <v>215</v>
      </c>
      <c r="R30" s="86" t="n">
        <v>8283</v>
      </c>
    </row>
    <row r="31" ht="14" customHeight="1" s="30">
      <c r="A31" s="88" t="inlineStr">
        <is>
          <t>HPAH</t>
        </is>
      </c>
      <c r="B31" s="88" t="inlineStr">
        <is>
          <t>3.5T</t>
        </is>
      </c>
      <c r="C31" s="88" t="inlineStr">
        <is>
          <t>GLZS4B-3.5T</t>
        </is>
      </c>
      <c r="D31" s="88" t="inlineStr">
        <is>
          <t>-</t>
        </is>
      </c>
      <c r="E31" s="88" t="inlineStr">
        <is>
          <t>AMST-3.5T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HKTSD10kW</t>
        </is>
      </c>
      <c r="I31" s="88" t="inlineStr">
        <is>
          <t>T-6 ($79)</t>
        </is>
      </c>
      <c r="J31" s="88" t="inlineStr">
        <is>
          <t>1" filter ($0)</t>
        </is>
      </c>
      <c r="K31" s="89" t="n">
        <v>2936</v>
      </c>
      <c r="L31" s="89" t="n">
        <v>1593.03</v>
      </c>
      <c r="M31" s="89" t="n">
        <v>169.95</v>
      </c>
      <c r="N31" s="89" t="n">
        <v>2160</v>
      </c>
      <c r="O31" s="89" t="n">
        <v>4698.98</v>
      </c>
      <c r="P31" s="89" t="n">
        <v>17999</v>
      </c>
      <c r="Q31" s="89" t="n">
        <v>218</v>
      </c>
      <c r="R31" s="89" t="n">
        <v>8400</v>
      </c>
    </row>
    <row r="32" ht="14" customHeight="1" s="30">
      <c r="A32" s="85" t="inlineStr">
        <is>
          <t>HPAH</t>
        </is>
      </c>
      <c r="B32" s="85" t="inlineStr">
        <is>
          <t>4T</t>
        </is>
      </c>
      <c r="C32" s="85" t="inlineStr">
        <is>
          <t>GLZS4B-4T</t>
        </is>
      </c>
      <c r="D32" s="85" t="inlineStr">
        <is>
          <t>-</t>
        </is>
      </c>
      <c r="E32" s="85" t="inlineStr">
        <is>
          <t>AMST-4T</t>
        </is>
      </c>
      <c r="F32" s="85" t="inlineStr">
        <is>
          <t>-</t>
        </is>
      </c>
      <c r="G32" s="85" t="inlineStr">
        <is>
          <t>-</t>
        </is>
      </c>
      <c r="H32" s="85" t="inlineStr">
        <is>
          <t>HKTSD10kW</t>
        </is>
      </c>
      <c r="I32" s="85" t="inlineStr">
        <is>
          <t>T-6 ($79)</t>
        </is>
      </c>
      <c r="J32" s="85" t="inlineStr">
        <is>
          <t>1" filter ($0)</t>
        </is>
      </c>
      <c r="K32" s="86" t="n">
        <v>3128</v>
      </c>
      <c r="L32" s="86" t="n">
        <v>1593.03</v>
      </c>
      <c r="M32" s="86" t="n">
        <v>169.95</v>
      </c>
      <c r="N32" s="86" t="n">
        <v>2250</v>
      </c>
      <c r="O32" s="86" t="n">
        <v>4890.98</v>
      </c>
      <c r="P32" s="86" t="n">
        <v>18749</v>
      </c>
      <c r="Q32" s="86" t="n">
        <v>227</v>
      </c>
      <c r="R32" s="86" t="n">
        <v>8750</v>
      </c>
    </row>
    <row r="33" ht="14" customHeight="1" s="30">
      <c r="A33" s="88" t="inlineStr">
        <is>
          <t>HPAH</t>
        </is>
      </c>
      <c r="B33" s="88" t="inlineStr">
        <is>
          <t>5T</t>
        </is>
      </c>
      <c r="C33" s="88" t="inlineStr">
        <is>
          <t>GLZS4B-5T</t>
        </is>
      </c>
      <c r="D33" s="88" t="inlineStr">
        <is>
          <t>-</t>
        </is>
      </c>
      <c r="E33" s="88" t="inlineStr">
        <is>
          <t>AMST-5T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HKTSD10kW</t>
        </is>
      </c>
      <c r="I33" s="88" t="inlineStr">
        <is>
          <t>T-6 ($79)</t>
        </is>
      </c>
      <c r="J33" s="88" t="inlineStr">
        <is>
          <t>1" filter ($0)</t>
        </is>
      </c>
      <c r="K33" s="89" t="n">
        <v>3575</v>
      </c>
      <c r="L33" s="89" t="n">
        <v>1593.03</v>
      </c>
      <c r="M33" s="89" t="n">
        <v>169.95</v>
      </c>
      <c r="N33" s="89" t="n">
        <v>2310</v>
      </c>
      <c r="O33" s="89" t="n">
        <v>5337.98</v>
      </c>
      <c r="P33" s="89" t="n">
        <v>19249</v>
      </c>
      <c r="Q33" s="89" t="n">
        <v>233</v>
      </c>
      <c r="R33" s="89" t="n">
        <v>8983</v>
      </c>
    </row>
    <row r="35" ht="16" customHeight="1" s="30">
      <c r="A35" s="84" t="inlineStr">
        <is>
          <t>DUAL FUEL (DF) — GLZS4B + GR9T80 2-Stage + CAPFA-R32 · BTU paired to tonnage · Permit $169.95 · 12% spiff</t>
        </is>
      </c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1" t="n"/>
    </row>
    <row r="36" ht="14" customHeight="1" s="30">
      <c r="A36" s="85" t="inlineStr">
        <is>
          <t>DF</t>
        </is>
      </c>
      <c r="B36" s="85" t="inlineStr">
        <is>
          <t>2T/40k</t>
        </is>
      </c>
      <c r="C36" s="85" t="inlineStr">
        <is>
          <t>GLZS4B-2T</t>
        </is>
      </c>
      <c r="D36" s="85" t="inlineStr">
        <is>
          <t>-</t>
        </is>
      </c>
      <c r="E36" s="85" t="inlineStr">
        <is>
          <t>-</t>
        </is>
      </c>
      <c r="F36" s="85" t="inlineStr">
        <is>
          <t>GR9T80-40k</t>
        </is>
      </c>
      <c r="G36" s="85" t="inlineStr">
        <is>
          <t>CAPFA-R32</t>
        </is>
      </c>
      <c r="H36" s="85" t="inlineStr">
        <is>
          <t>-</t>
        </is>
      </c>
      <c r="I36" s="85" t="inlineStr">
        <is>
          <t>T-6 ($79)</t>
        </is>
      </c>
      <c r="J36" s="85" t="inlineStr">
        <is>
          <t>1" filter ($0)</t>
        </is>
      </c>
      <c r="K36" s="86" t="n">
        <v>2318</v>
      </c>
      <c r="L36" s="86" t="n">
        <v>1593.03</v>
      </c>
      <c r="M36" s="86" t="n">
        <v>169.95</v>
      </c>
      <c r="N36" s="86" t="n">
        <v>2190</v>
      </c>
      <c r="O36" s="86" t="n">
        <v>4080.98</v>
      </c>
      <c r="P36" s="86" t="n">
        <v>18249</v>
      </c>
      <c r="Q36" s="86" t="n">
        <v>221</v>
      </c>
      <c r="R36" s="86" t="n">
        <v>8516</v>
      </c>
    </row>
    <row r="37" ht="14" customHeight="1" s="30">
      <c r="A37" s="88" t="inlineStr">
        <is>
          <t>DF</t>
        </is>
      </c>
      <c r="B37" s="88" t="inlineStr">
        <is>
          <t>2.5T/60k</t>
        </is>
      </c>
      <c r="C37" s="88" t="inlineStr">
        <is>
          <t>GLZS4B-2.5T</t>
        </is>
      </c>
      <c r="D37" s="88" t="inlineStr">
        <is>
          <t>-</t>
        </is>
      </c>
      <c r="E37" s="88" t="inlineStr">
        <is>
          <t>-</t>
        </is>
      </c>
      <c r="F37" s="88" t="inlineStr">
        <is>
          <t>GR9T80-60k</t>
        </is>
      </c>
      <c r="G37" s="88" t="inlineStr">
        <is>
          <t>CAPFA-R32</t>
        </is>
      </c>
      <c r="H37" s="88" t="inlineStr">
        <is>
          <t>-</t>
        </is>
      </c>
      <c r="I37" s="88" t="inlineStr">
        <is>
          <t>T-6 ($79)</t>
        </is>
      </c>
      <c r="J37" s="88" t="inlineStr">
        <is>
          <t>1" filter ($0)</t>
        </is>
      </c>
      <c r="K37" s="89" t="n">
        <v>2619</v>
      </c>
      <c r="L37" s="89" t="n">
        <v>1593.03</v>
      </c>
      <c r="M37" s="89" t="n">
        <v>169.95</v>
      </c>
      <c r="N37" s="89" t="n">
        <v>2250</v>
      </c>
      <c r="O37" s="89" t="n">
        <v>4381.98</v>
      </c>
      <c r="P37" s="89" t="n">
        <v>18749</v>
      </c>
      <c r="Q37" s="89" t="n">
        <v>227</v>
      </c>
      <c r="R37" s="89" t="n">
        <v>8750</v>
      </c>
    </row>
    <row r="38" ht="14" customHeight="1" s="30">
      <c r="A38" s="85" t="inlineStr">
        <is>
          <t>DF</t>
        </is>
      </c>
      <c r="B38" s="85" t="inlineStr">
        <is>
          <t>3T/80k</t>
        </is>
      </c>
      <c r="C38" s="85" t="inlineStr">
        <is>
          <t>GLZS4B-3T</t>
        </is>
      </c>
      <c r="D38" s="85" t="inlineStr">
        <is>
          <t>-</t>
        </is>
      </c>
      <c r="E38" s="85" t="inlineStr">
        <is>
          <t>-</t>
        </is>
      </c>
      <c r="F38" s="85" t="inlineStr">
        <is>
          <t>GR9T80-80k</t>
        </is>
      </c>
      <c r="G38" s="85" t="inlineStr">
        <is>
          <t>CAPFA-R32</t>
        </is>
      </c>
      <c r="H38" s="85" t="inlineStr">
        <is>
          <t>-</t>
        </is>
      </c>
      <c r="I38" s="85" t="inlineStr">
        <is>
          <t>T-6 ($79)</t>
        </is>
      </c>
      <c r="J38" s="85" t="inlineStr">
        <is>
          <t>1" filter ($0)</t>
        </is>
      </c>
      <c r="K38" s="86" t="n">
        <v>2863</v>
      </c>
      <c r="L38" s="86" t="n">
        <v>1593.03</v>
      </c>
      <c r="M38" s="86" t="n">
        <v>169.95</v>
      </c>
      <c r="N38" s="86" t="n">
        <v>2250</v>
      </c>
      <c r="O38" s="86" t="n">
        <v>4625.98</v>
      </c>
      <c r="P38" s="86" t="n">
        <v>18749</v>
      </c>
      <c r="Q38" s="86" t="n">
        <v>227</v>
      </c>
      <c r="R38" s="86" t="n">
        <v>8750</v>
      </c>
    </row>
    <row r="39" ht="14" customHeight="1" s="30">
      <c r="A39" s="88" t="inlineStr">
        <is>
          <t>DF</t>
        </is>
      </c>
      <c r="B39" s="88" t="inlineStr">
        <is>
          <t>3.5T/100k</t>
        </is>
      </c>
      <c r="C39" s="88" t="inlineStr">
        <is>
          <t>GLZS4B-3.5T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GR9T80-100k</t>
        </is>
      </c>
      <c r="G39" s="88" t="inlineStr">
        <is>
          <t>CAPFA-R32</t>
        </is>
      </c>
      <c r="H39" s="88" t="inlineStr">
        <is>
          <t>-</t>
        </is>
      </c>
      <c r="I39" s="88" t="inlineStr">
        <is>
          <t>T-6 ($79)</t>
        </is>
      </c>
      <c r="J39" s="88" t="inlineStr">
        <is>
          <t>1" filter ($0)</t>
        </is>
      </c>
      <c r="K39" s="89" t="n">
        <v>3114</v>
      </c>
      <c r="L39" s="89" t="n">
        <v>1593.03</v>
      </c>
      <c r="M39" s="89" t="n">
        <v>169.95</v>
      </c>
      <c r="N39" s="89" t="n">
        <v>2310</v>
      </c>
      <c r="O39" s="89" t="n">
        <v>4876.98</v>
      </c>
      <c r="P39" s="89" t="n">
        <v>19249</v>
      </c>
      <c r="Q39" s="89" t="n">
        <v>233</v>
      </c>
      <c r="R39" s="89" t="n">
        <v>8983</v>
      </c>
    </row>
    <row r="40" ht="14" customHeight="1" s="30">
      <c r="A40" s="85" t="inlineStr">
        <is>
          <t>DF</t>
        </is>
      </c>
      <c r="B40" s="85" t="inlineStr">
        <is>
          <t>4T/120k</t>
        </is>
      </c>
      <c r="C40" s="85" t="inlineStr">
        <is>
          <t>GLZS4B-4T</t>
        </is>
      </c>
      <c r="D40" s="85" t="inlineStr">
        <is>
          <t>-</t>
        </is>
      </c>
      <c r="E40" s="85" t="inlineStr">
        <is>
          <t>-</t>
        </is>
      </c>
      <c r="F40" s="85" t="inlineStr">
        <is>
          <t>GR9T80-120k</t>
        </is>
      </c>
      <c r="G40" s="85" t="inlineStr">
        <is>
          <t>CAPFA-R32</t>
        </is>
      </c>
      <c r="H40" s="85" t="inlineStr">
        <is>
          <t>-</t>
        </is>
      </c>
      <c r="I40" s="85" t="inlineStr">
        <is>
          <t>T-6 ($79)</t>
        </is>
      </c>
      <c r="J40" s="85" t="inlineStr">
        <is>
          <t>1" filter ($0)</t>
        </is>
      </c>
      <c r="K40" s="86" t="n">
        <v>3457</v>
      </c>
      <c r="L40" s="86" t="n">
        <v>1593.03</v>
      </c>
      <c r="M40" s="86" t="n">
        <v>169.95</v>
      </c>
      <c r="N40" s="86" t="n">
        <v>2310</v>
      </c>
      <c r="O40" s="86" t="n">
        <v>5219.98</v>
      </c>
      <c r="P40" s="86" t="n">
        <v>19249</v>
      </c>
      <c r="Q40" s="86" t="n">
        <v>233</v>
      </c>
      <c r="R40" s="86" t="n">
        <v>8983</v>
      </c>
    </row>
    <row r="41" ht="14" customHeight="1" s="30">
      <c r="A41" s="88" t="inlineStr">
        <is>
          <t>DF</t>
        </is>
      </c>
      <c r="B41" s="88" t="inlineStr">
        <is>
          <t>5T/120k</t>
        </is>
      </c>
      <c r="C41" s="88" t="inlineStr">
        <is>
          <t>GLZS4B-5T</t>
        </is>
      </c>
      <c r="D41" s="88" t="inlineStr">
        <is>
          <t>-</t>
        </is>
      </c>
      <c r="E41" s="88" t="inlineStr">
        <is>
          <t>-</t>
        </is>
      </c>
      <c r="F41" s="88" t="inlineStr">
        <is>
          <t>GR9T80-120k</t>
        </is>
      </c>
      <c r="G41" s="88" t="inlineStr">
        <is>
          <t>CAPFA-R32</t>
        </is>
      </c>
      <c r="H41" s="88" t="inlineStr">
        <is>
          <t>-</t>
        </is>
      </c>
      <c r="I41" s="88" t="inlineStr">
        <is>
          <t>T-6 ($79)</t>
        </is>
      </c>
      <c r="J41" s="88" t="inlineStr">
        <is>
          <t>1" filter ($0)</t>
        </is>
      </c>
      <c r="K41" s="89" t="n">
        <v>3778</v>
      </c>
      <c r="L41" s="89" t="n">
        <v>1593.03</v>
      </c>
      <c r="M41" s="89" t="n">
        <v>169.95</v>
      </c>
      <c r="N41" s="89" t="n">
        <v>2370</v>
      </c>
      <c r="O41" s="89" t="n">
        <v>5540.98</v>
      </c>
      <c r="P41" s="89" t="n">
        <v>19749</v>
      </c>
      <c r="Q41" s="89" t="n">
        <v>239</v>
      </c>
      <c r="R41" s="89" t="n">
        <v>9216</v>
      </c>
    </row>
    <row r="43" ht="16" customHeight="1" s="30">
      <c r="A43" s="84" t="inlineStr">
        <is>
          <t>FULL SYSTEM (ACGF) — GLXS3B + GR9S80 SS + CAPFA-R32 · BTU paired to tonnage · Permit $169.95 · $250 FLAT spiff</t>
        </is>
      </c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1" t="n"/>
    </row>
    <row r="44" ht="14" customHeight="1" s="30">
      <c r="A44" s="85" t="inlineStr">
        <is>
          <t>ACGF</t>
        </is>
      </c>
      <c r="B44" s="85" t="inlineStr">
        <is>
          <t>2T/40k</t>
        </is>
      </c>
      <c r="C44" s="85" t="inlineStr">
        <is>
          <t>-</t>
        </is>
      </c>
      <c r="D44" s="85" t="inlineStr">
        <is>
          <t>GLXS3B-2T</t>
        </is>
      </c>
      <c r="E44" s="85" t="inlineStr">
        <is>
          <t>-</t>
        </is>
      </c>
      <c r="F44" s="85" t="inlineStr">
        <is>
          <t>GR9S80-40k</t>
        </is>
      </c>
      <c r="G44" s="85" t="inlineStr">
        <is>
          <t>CAPFA-R32</t>
        </is>
      </c>
      <c r="H44" s="85" t="inlineStr">
        <is>
          <t>-</t>
        </is>
      </c>
      <c r="I44" s="85" t="inlineStr">
        <is>
          <t>T-6 ($79)</t>
        </is>
      </c>
      <c r="J44" s="85" t="inlineStr">
        <is>
          <t>1" filter ($0)</t>
        </is>
      </c>
      <c r="K44" s="86" t="n">
        <v>1922</v>
      </c>
      <c r="L44" s="86" t="n">
        <v>1593.03</v>
      </c>
      <c r="M44" s="86" t="n">
        <v>169.95</v>
      </c>
      <c r="N44" s="86" t="n">
        <v>250</v>
      </c>
      <c r="O44" s="86" t="n">
        <v>3684.98</v>
      </c>
      <c r="P44" s="86" t="n">
        <v>18749</v>
      </c>
      <c r="Q44" s="86" t="n">
        <v>227</v>
      </c>
      <c r="R44" s="86" t="n">
        <v>8750</v>
      </c>
    </row>
    <row r="45" ht="14" customHeight="1" s="30">
      <c r="A45" s="88" t="inlineStr">
        <is>
          <t>ACGF</t>
        </is>
      </c>
      <c r="B45" s="88" t="inlineStr">
        <is>
          <t>2.5T/60k</t>
        </is>
      </c>
      <c r="C45" s="88" t="inlineStr">
        <is>
          <t>-</t>
        </is>
      </c>
      <c r="D45" s="88" t="inlineStr">
        <is>
          <t>GLXS3B-2.5T</t>
        </is>
      </c>
      <c r="E45" s="88" t="inlineStr">
        <is>
          <t>-</t>
        </is>
      </c>
      <c r="F45" s="88" t="inlineStr">
        <is>
          <t>GR9S80-60k</t>
        </is>
      </c>
      <c r="G45" s="88" t="inlineStr">
        <is>
          <t>CAPFA-R32</t>
        </is>
      </c>
      <c r="H45" s="88" t="inlineStr">
        <is>
          <t>-</t>
        </is>
      </c>
      <c r="I45" s="88" t="inlineStr">
        <is>
          <t>T-6 ($79)</t>
        </is>
      </c>
      <c r="J45" s="88" t="inlineStr">
        <is>
          <t>1" filter ($0)</t>
        </is>
      </c>
      <c r="K45" s="89" t="n">
        <v>2074</v>
      </c>
      <c r="L45" s="89" t="n">
        <v>1593.03</v>
      </c>
      <c r="M45" s="89" t="n">
        <v>169.95</v>
      </c>
      <c r="N45" s="89" t="n">
        <v>250</v>
      </c>
      <c r="O45" s="89" t="n">
        <v>3836.98</v>
      </c>
      <c r="P45" s="89" t="n">
        <v>18999</v>
      </c>
      <c r="Q45" s="89" t="n">
        <v>230</v>
      </c>
      <c r="R45" s="89" t="n">
        <v>8866</v>
      </c>
    </row>
    <row r="46" ht="14" customHeight="1" s="30">
      <c r="A46" s="85" t="inlineStr">
        <is>
          <t>ACGF</t>
        </is>
      </c>
      <c r="B46" s="85" t="inlineStr">
        <is>
          <t>3T/80k</t>
        </is>
      </c>
      <c r="C46" s="85" t="inlineStr">
        <is>
          <t>-</t>
        </is>
      </c>
      <c r="D46" s="85" t="inlineStr">
        <is>
          <t>GLXS3B-3T</t>
        </is>
      </c>
      <c r="E46" s="85" t="inlineStr">
        <is>
          <t>-</t>
        </is>
      </c>
      <c r="F46" s="85" t="inlineStr">
        <is>
          <t>GR9S80-80k</t>
        </is>
      </c>
      <c r="G46" s="85" t="inlineStr">
        <is>
          <t>CAPFA-R32</t>
        </is>
      </c>
      <c r="H46" s="85" t="inlineStr">
        <is>
          <t>-</t>
        </is>
      </c>
      <c r="I46" s="85" t="inlineStr">
        <is>
          <t>T-6 ($79)</t>
        </is>
      </c>
      <c r="J46" s="85" t="inlineStr">
        <is>
          <t>1" filter ($0)</t>
        </is>
      </c>
      <c r="K46" s="86" t="n">
        <v>2229</v>
      </c>
      <c r="L46" s="86" t="n">
        <v>1593.03</v>
      </c>
      <c r="M46" s="86" t="n">
        <v>169.95</v>
      </c>
      <c r="N46" s="86" t="n">
        <v>250</v>
      </c>
      <c r="O46" s="86" t="n">
        <v>3991.98</v>
      </c>
      <c r="P46" s="86" t="n">
        <v>18999</v>
      </c>
      <c r="Q46" s="86" t="n">
        <v>230</v>
      </c>
      <c r="R46" s="86" t="n">
        <v>8866</v>
      </c>
    </row>
    <row r="47" ht="14" customHeight="1" s="30">
      <c r="A47" s="88" t="inlineStr">
        <is>
          <t>ACGF</t>
        </is>
      </c>
      <c r="B47" s="88" t="inlineStr">
        <is>
          <t>3.5T/100k</t>
        </is>
      </c>
      <c r="C47" s="88" t="inlineStr">
        <is>
          <t>-</t>
        </is>
      </c>
      <c r="D47" s="88" t="inlineStr">
        <is>
          <t>GLXS3B-3.5T</t>
        </is>
      </c>
      <c r="E47" s="88" t="inlineStr">
        <is>
          <t>-</t>
        </is>
      </c>
      <c r="F47" s="88" t="inlineStr">
        <is>
          <t>GR9S80-100k</t>
        </is>
      </c>
      <c r="G47" s="88" t="inlineStr">
        <is>
          <t>CAPFA-R32</t>
        </is>
      </c>
      <c r="H47" s="88" t="inlineStr">
        <is>
          <t>-</t>
        </is>
      </c>
      <c r="I47" s="88" t="inlineStr">
        <is>
          <t>T-6 ($79)</t>
        </is>
      </c>
      <c r="J47" s="88" t="inlineStr">
        <is>
          <t>1" filter ($0)</t>
        </is>
      </c>
      <c r="K47" s="89" t="n">
        <v>2505</v>
      </c>
      <c r="L47" s="89" t="n">
        <v>1593.03</v>
      </c>
      <c r="M47" s="89" t="n">
        <v>169.95</v>
      </c>
      <c r="N47" s="89" t="n">
        <v>250</v>
      </c>
      <c r="O47" s="89" t="n">
        <v>4267.98</v>
      </c>
      <c r="P47" s="89" t="n">
        <v>19249</v>
      </c>
      <c r="Q47" s="89" t="n">
        <v>233</v>
      </c>
      <c r="R47" s="89" t="n">
        <v>8983</v>
      </c>
    </row>
    <row r="48" ht="14" customHeight="1" s="30">
      <c r="A48" s="85" t="inlineStr">
        <is>
          <t>ACGF</t>
        </is>
      </c>
      <c r="B48" s="85" t="inlineStr">
        <is>
          <t>4T/120k</t>
        </is>
      </c>
      <c r="C48" s="85" t="inlineStr">
        <is>
          <t>-</t>
        </is>
      </c>
      <c r="D48" s="85" t="inlineStr">
        <is>
          <t>GLXS3B-4T</t>
        </is>
      </c>
      <c r="E48" s="85" t="inlineStr">
        <is>
          <t>-</t>
        </is>
      </c>
      <c r="F48" s="85" t="inlineStr">
        <is>
          <t>GR9S80-120k</t>
        </is>
      </c>
      <c r="G48" s="85" t="inlineStr">
        <is>
          <t>CAPFA-R32</t>
        </is>
      </c>
      <c r="H48" s="85" t="inlineStr">
        <is>
          <t>-</t>
        </is>
      </c>
      <c r="I48" s="85" t="inlineStr">
        <is>
          <t>T-6 ($79)</t>
        </is>
      </c>
      <c r="J48" s="85" t="inlineStr">
        <is>
          <t>1" filter ($0)</t>
        </is>
      </c>
      <c r="K48" s="86" t="n">
        <v>2789</v>
      </c>
      <c r="L48" s="86" t="n">
        <v>1593.03</v>
      </c>
      <c r="M48" s="86" t="n">
        <v>169.95</v>
      </c>
      <c r="N48" s="86" t="n">
        <v>250</v>
      </c>
      <c r="O48" s="86" t="n">
        <v>4551.98</v>
      </c>
      <c r="P48" s="86" t="n">
        <v>19249</v>
      </c>
      <c r="Q48" s="86" t="n">
        <v>233</v>
      </c>
      <c r="R48" s="86" t="n">
        <v>8983</v>
      </c>
    </row>
    <row r="49" ht="14" customHeight="1" s="30">
      <c r="A49" s="88" t="inlineStr">
        <is>
          <t>ACGF</t>
        </is>
      </c>
      <c r="B49" s="88" t="inlineStr">
        <is>
          <t>5T/120k</t>
        </is>
      </c>
      <c r="C49" s="88" t="inlineStr">
        <is>
          <t>-</t>
        </is>
      </c>
      <c r="D49" s="88" t="inlineStr">
        <is>
          <t>GLXS3B-5T</t>
        </is>
      </c>
      <c r="E49" s="88" t="inlineStr">
        <is>
          <t>-</t>
        </is>
      </c>
      <c r="F49" s="88" t="inlineStr">
        <is>
          <t>GR9S80-120k</t>
        </is>
      </c>
      <c r="G49" s="88" t="inlineStr">
        <is>
          <t>CAPFA-R32</t>
        </is>
      </c>
      <c r="H49" s="88" t="inlineStr">
        <is>
          <t>-</t>
        </is>
      </c>
      <c r="I49" s="88" t="inlineStr">
        <is>
          <t>T-6 ($79)</t>
        </is>
      </c>
      <c r="J49" s="88" t="inlineStr">
        <is>
          <t>1" filter ($0)</t>
        </is>
      </c>
      <c r="K49" s="89" t="n">
        <v>2971</v>
      </c>
      <c r="L49" s="89" t="n">
        <v>1593.03</v>
      </c>
      <c r="M49" s="89" t="n">
        <v>169.95</v>
      </c>
      <c r="N49" s="89" t="n">
        <v>250</v>
      </c>
      <c r="O49" s="89" t="n">
        <v>4733.98</v>
      </c>
      <c r="P49" s="89" t="n">
        <v>19749</v>
      </c>
      <c r="Q49" s="89" t="n">
        <v>239</v>
      </c>
      <c r="R49" s="89" t="n">
        <v>9216</v>
      </c>
    </row>
  </sheetData>
  <mergeCells count="8">
    <mergeCell ref="A43:R43"/>
    <mergeCell ref="A2:R2"/>
    <mergeCell ref="A11:R11"/>
    <mergeCell ref="A19:R19"/>
    <mergeCell ref="A1:R1"/>
    <mergeCell ref="A27:R27"/>
    <mergeCell ref="A35:R35"/>
    <mergeCell ref="A4:R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style="30" min="1" max="1"/>
    <col width="9" customWidth="1" style="30" min="2" max="2"/>
    <col width="15" customWidth="1" style="30" min="3" max="3"/>
    <col width="15" customWidth="1" style="30" min="4" max="4"/>
    <col width="15" customWidth="1" style="30" min="5" max="5"/>
    <col width="14" customWidth="1" style="30" min="6" max="6"/>
    <col width="14" customWidth="1" style="30" min="7" max="7"/>
    <col width="14" customWidth="1" style="30" min="8" max="8"/>
    <col width="14" customWidth="1" style="30" min="9" max="9"/>
    <col width="12" customWidth="1" style="30" min="10" max="10"/>
    <col width="11" customWidth="1" style="30" min="11" max="11"/>
    <col width="11" customWidth="1" style="30" min="12" max="12"/>
    <col width="8" customWidth="1" style="30" min="13" max="13"/>
    <col width="10" customWidth="1" style="30" min="14" max="14"/>
    <col width="13" customWidth="1" style="30" min="15" max="15"/>
    <col width="11" customWidth="1" style="30" min="16" max="16"/>
    <col width="9" customWidth="1" style="30" min="17" max="17"/>
    <col width="12" customWidth="1" style="30" min="18" max="18"/>
  </cols>
  <sheetData>
    <row r="1" ht="18" customHeight="1" s="30">
      <c r="A1" s="82" t="inlineStr">
        <is>
          <t>CM Heating Acct #2300 · Daikin Ductless R-32 · Thermal Supply · Price sheet 05/24/2026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1" t="n"/>
    </row>
    <row r="2" ht="14" customHeight="1" s="30">
      <c r="A2" s="83" t="inlineStr">
        <is>
          <t>Payment ratio: 1.2093%/mo · Residual = MSRP×(180−N)/180 · ★ YELLOW MSRP CELLS = ESTIMATED — confirm with CM Heating CaaS contract officer ★ · Labor est. $1,100/zone single-zone, $1,600 two-zone · Permit $100 flat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1" t="n"/>
    </row>
    <row r="3" ht="22" customHeight="1" s="30">
      <c r="A3" s="73" t="inlineStr">
        <is>
          <t>Job Type</t>
        </is>
      </c>
      <c r="B3" s="73" t="inlineStr">
        <is>
          <t>Size</t>
        </is>
      </c>
      <c r="C3" s="73" t="inlineStr">
        <is>
          <t>HP Model</t>
        </is>
      </c>
      <c r="D3" s="73" t="inlineStr">
        <is>
          <t>AC Model</t>
        </is>
      </c>
      <c r="E3" s="73" t="inlineStr">
        <is>
          <t>AH Model</t>
        </is>
      </c>
      <c r="F3" s="73" t="inlineStr">
        <is>
          <t>Furn Model</t>
        </is>
      </c>
      <c r="G3" s="73" t="inlineStr">
        <is>
          <t>Coil Model</t>
        </is>
      </c>
      <c r="H3" s="73" t="inlineStr">
        <is>
          <t>HS Model</t>
        </is>
      </c>
      <c r="I3" s="73" t="inlineStr">
        <is>
          <t>Thermo</t>
        </is>
      </c>
      <c r="J3" s="73" t="inlineStr">
        <is>
          <t>IAQ</t>
        </is>
      </c>
      <c r="K3" s="73" t="inlineStr">
        <is>
          <t>Equip Cost</t>
        </is>
      </c>
      <c r="L3" s="73" t="inlineStr">
        <is>
          <t>Labor</t>
        </is>
      </c>
      <c r="M3" s="73" t="inlineStr">
        <is>
          <t>Permit</t>
        </is>
      </c>
      <c r="N3" s="73" t="inlineStr">
        <is>
          <t>Spiff</t>
        </is>
      </c>
      <c r="O3" s="73" t="inlineStr">
        <is>
          <t>Total Job Cost</t>
        </is>
      </c>
      <c r="P3" s="73" t="inlineStr">
        <is>
          <t>MSRP</t>
        </is>
      </c>
      <c r="Q3" s="73" t="inlineStr">
        <is>
          <t>CaaS/mo</t>
        </is>
      </c>
      <c r="R3" s="73" t="inlineStr">
        <is>
          <t>Resid @ mo96</t>
        </is>
      </c>
    </row>
    <row r="4" ht="16" customHeight="1" s="30">
      <c r="A4" s="84" t="inlineStr">
        <is>
          <t>WALL HEAT PUMP — ENTRA 18 SEER2 (RXC-AXV outdoor + FTXC-AXV indoor) · Permit $100 · 12% spiff · MSRP ★ ESTIMATE</t>
        </is>
      </c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</row>
    <row r="5" ht="14" customHeight="1" s="30">
      <c r="A5" s="85" t="inlineStr">
        <is>
          <t>WALL-HP</t>
        </is>
      </c>
      <c r="B5" s="85" t="inlineStr">
        <is>
          <t>9k</t>
        </is>
      </c>
      <c r="C5" s="85" t="inlineStr">
        <is>
          <t>RXC09AXVJU</t>
        </is>
      </c>
      <c r="D5" s="85" t="inlineStr">
        <is>
          <t>-</t>
        </is>
      </c>
      <c r="E5" s="85" t="inlineStr">
        <is>
          <t>FTXC09AXVJU</t>
        </is>
      </c>
      <c r="F5" s="85" t="inlineStr">
        <is>
          <t>-</t>
        </is>
      </c>
      <c r="G5" s="85" t="inlineStr">
        <is>
          <t>-</t>
        </is>
      </c>
      <c r="H5" s="85" t="inlineStr">
        <is>
          <t>-</t>
        </is>
      </c>
      <c r="I5" s="85" t="inlineStr">
        <is>
          <t>Remote (incl.)</t>
        </is>
      </c>
      <c r="J5" s="85" t="inlineStr">
        <is>
          <t>—</t>
        </is>
      </c>
      <c r="K5" s="86" t="n">
        <v>882</v>
      </c>
      <c r="L5" s="86" t="n">
        <v>1100</v>
      </c>
      <c r="M5" s="86" t="n">
        <v>100</v>
      </c>
      <c r="N5" s="86" t="n">
        <v>660</v>
      </c>
      <c r="O5" s="86" t="n">
        <v>2082</v>
      </c>
      <c r="P5" s="87" t="n">
        <v>5500</v>
      </c>
      <c r="Q5" s="86" t="n">
        <v>67</v>
      </c>
      <c r="R5" s="86" t="n">
        <v>2567</v>
      </c>
    </row>
    <row r="6" ht="14" customHeight="1" s="30">
      <c r="A6" s="88" t="inlineStr">
        <is>
          <t>WALL-HP</t>
        </is>
      </c>
      <c r="B6" s="88" t="inlineStr">
        <is>
          <t>12k</t>
        </is>
      </c>
      <c r="C6" s="88" t="inlineStr">
        <is>
          <t>RXC12AXVJU</t>
        </is>
      </c>
      <c r="D6" s="88" t="inlineStr">
        <is>
          <t>-</t>
        </is>
      </c>
      <c r="E6" s="88" t="inlineStr">
        <is>
          <t>FTXC12AXVJU</t>
        </is>
      </c>
      <c r="F6" s="88" t="inlineStr">
        <is>
          <t>-</t>
        </is>
      </c>
      <c r="G6" s="88" t="inlineStr">
        <is>
          <t>-</t>
        </is>
      </c>
      <c r="H6" s="88" t="inlineStr">
        <is>
          <t>-</t>
        </is>
      </c>
      <c r="I6" s="88" t="inlineStr">
        <is>
          <t>Remote (incl.)</t>
        </is>
      </c>
      <c r="J6" s="88" t="inlineStr">
        <is>
          <t>—</t>
        </is>
      </c>
      <c r="K6" s="89" t="n">
        <v>980</v>
      </c>
      <c r="L6" s="89" t="n">
        <v>1100</v>
      </c>
      <c r="M6" s="89" t="n">
        <v>100</v>
      </c>
      <c r="N6" s="89" t="n">
        <v>720</v>
      </c>
      <c r="O6" s="89" t="n">
        <v>2180</v>
      </c>
      <c r="P6" s="87" t="n">
        <v>6000</v>
      </c>
      <c r="Q6" s="89" t="n">
        <v>73</v>
      </c>
      <c r="R6" s="89" t="n">
        <v>2800</v>
      </c>
    </row>
    <row r="7" ht="14" customHeight="1" s="30">
      <c r="A7" s="85" t="inlineStr">
        <is>
          <t>WALL-HP</t>
        </is>
      </c>
      <c r="B7" s="85" t="inlineStr">
        <is>
          <t>18k</t>
        </is>
      </c>
      <c r="C7" s="85" t="inlineStr">
        <is>
          <t>RXC18AXVJU</t>
        </is>
      </c>
      <c r="D7" s="85" t="inlineStr">
        <is>
          <t>-</t>
        </is>
      </c>
      <c r="E7" s="85" t="inlineStr">
        <is>
          <t>FTXC18AXVJU</t>
        </is>
      </c>
      <c r="F7" s="85" t="inlineStr">
        <is>
          <t>-</t>
        </is>
      </c>
      <c r="G7" s="85" t="inlineStr">
        <is>
          <t>-</t>
        </is>
      </c>
      <c r="H7" s="85" t="inlineStr">
        <is>
          <t>-</t>
        </is>
      </c>
      <c r="I7" s="85" t="inlineStr">
        <is>
          <t>Remote (incl.)</t>
        </is>
      </c>
      <c r="J7" s="85" t="inlineStr">
        <is>
          <t>—</t>
        </is>
      </c>
      <c r="K7" s="86" t="n">
        <v>1283</v>
      </c>
      <c r="L7" s="86" t="n">
        <v>1100</v>
      </c>
      <c r="M7" s="86" t="n">
        <v>100</v>
      </c>
      <c r="N7" s="86" t="n">
        <v>900</v>
      </c>
      <c r="O7" s="86" t="n">
        <v>2483</v>
      </c>
      <c r="P7" s="87" t="n">
        <v>7500</v>
      </c>
      <c r="Q7" s="86" t="n">
        <v>91</v>
      </c>
      <c r="R7" s="86" t="n">
        <v>3500</v>
      </c>
    </row>
    <row r="8" ht="14" customHeight="1" s="30">
      <c r="A8" s="88" t="inlineStr">
        <is>
          <t>WALL-HP</t>
        </is>
      </c>
      <c r="B8" s="88" t="inlineStr">
        <is>
          <t>24k</t>
        </is>
      </c>
      <c r="C8" s="88" t="inlineStr">
        <is>
          <t>RXC24AXVJU</t>
        </is>
      </c>
      <c r="D8" s="88" t="inlineStr">
        <is>
          <t>-</t>
        </is>
      </c>
      <c r="E8" s="88" t="inlineStr">
        <is>
          <t>FTXC24AXVJU</t>
        </is>
      </c>
      <c r="F8" s="88" t="inlineStr">
        <is>
          <t>-</t>
        </is>
      </c>
      <c r="G8" s="88" t="inlineStr">
        <is>
          <t>-</t>
        </is>
      </c>
      <c r="H8" s="88" t="inlineStr">
        <is>
          <t>-</t>
        </is>
      </c>
      <c r="I8" s="88" t="inlineStr">
        <is>
          <t>Remote (incl.)</t>
        </is>
      </c>
      <c r="J8" s="88" t="inlineStr">
        <is>
          <t>—</t>
        </is>
      </c>
      <c r="K8" s="89" t="n">
        <v>1534</v>
      </c>
      <c r="L8" s="89" t="n">
        <v>1100</v>
      </c>
      <c r="M8" s="89" t="n">
        <v>100</v>
      </c>
      <c r="N8" s="89" t="n">
        <v>1020</v>
      </c>
      <c r="O8" s="89" t="n">
        <v>2734</v>
      </c>
      <c r="P8" s="87" t="n">
        <v>8500</v>
      </c>
      <c r="Q8" s="89" t="n">
        <v>103</v>
      </c>
      <c r="R8" s="89" t="n">
        <v>3967</v>
      </c>
    </row>
    <row r="10" ht="16" customHeight="1" s="30">
      <c r="A10" s="84" t="inlineStr">
        <is>
          <t>WALL HEAT PUMP — OTERRA 21 SEER2 (RXF-BV outdoor + FTXF-BV indoor) · Permit $100 · 12% spiff · MSRP ★ ESTIMATE</t>
        </is>
      </c>
      <c r="B10" s="80" t="n"/>
      <c r="C10" s="80" t="n"/>
      <c r="D10" s="80" t="n"/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1" t="n"/>
    </row>
    <row r="11" ht="14" customHeight="1" s="30">
      <c r="A11" s="85" t="inlineStr">
        <is>
          <t>WALL-HP</t>
        </is>
      </c>
      <c r="B11" s="85" t="inlineStr">
        <is>
          <t>9k</t>
        </is>
      </c>
      <c r="C11" s="85" t="inlineStr">
        <is>
          <t>RXF09BVJU*</t>
        </is>
      </c>
      <c r="D11" s="85" t="inlineStr">
        <is>
          <t>-</t>
        </is>
      </c>
      <c r="E11" s="85" t="inlineStr">
        <is>
          <t>FTXF09BVJU*</t>
        </is>
      </c>
      <c r="F11" s="85" t="inlineStr">
        <is>
          <t>-</t>
        </is>
      </c>
      <c r="G11" s="85" t="inlineStr">
        <is>
          <t>-</t>
        </is>
      </c>
      <c r="H11" s="85" t="inlineStr">
        <is>
          <t>-</t>
        </is>
      </c>
      <c r="I11" s="85" t="inlineStr">
        <is>
          <t>Remote (incl.)</t>
        </is>
      </c>
      <c r="J11" s="85" t="inlineStr">
        <is>
          <t>—</t>
        </is>
      </c>
      <c r="K11" s="86" t="n">
        <v>1165</v>
      </c>
      <c r="L11" s="86" t="n">
        <v>1100</v>
      </c>
      <c r="M11" s="86" t="n">
        <v>100</v>
      </c>
      <c r="N11" s="86" t="n">
        <v>690</v>
      </c>
      <c r="O11" s="86" t="n">
        <v>2365</v>
      </c>
      <c r="P11" s="87" t="n">
        <v>5750</v>
      </c>
      <c r="Q11" s="86" t="n">
        <v>70</v>
      </c>
      <c r="R11" s="86" t="n">
        <v>2683</v>
      </c>
    </row>
    <row r="12" ht="14" customHeight="1" s="30">
      <c r="A12" s="88" t="inlineStr">
        <is>
          <t>WALL-HP</t>
        </is>
      </c>
      <c r="B12" s="88" t="inlineStr">
        <is>
          <t>12k</t>
        </is>
      </c>
      <c r="C12" s="88" t="inlineStr">
        <is>
          <t>RXF12BVJU*</t>
        </is>
      </c>
      <c r="D12" s="88" t="inlineStr">
        <is>
          <t>-</t>
        </is>
      </c>
      <c r="E12" s="88" t="inlineStr">
        <is>
          <t>FTXF12BVJU*</t>
        </is>
      </c>
      <c r="F12" s="88" t="inlineStr">
        <is>
          <t>-</t>
        </is>
      </c>
      <c r="G12" s="88" t="inlineStr">
        <is>
          <t>-</t>
        </is>
      </c>
      <c r="H12" s="88" t="inlineStr">
        <is>
          <t>-</t>
        </is>
      </c>
      <c r="I12" s="88" t="inlineStr">
        <is>
          <t>Remote (incl.)</t>
        </is>
      </c>
      <c r="J12" s="88" t="inlineStr">
        <is>
          <t>—</t>
        </is>
      </c>
      <c r="K12" s="89" t="n">
        <v>1400</v>
      </c>
      <c r="L12" s="89" t="n">
        <v>1100</v>
      </c>
      <c r="M12" s="89" t="n">
        <v>100</v>
      </c>
      <c r="N12" s="89" t="n">
        <v>780</v>
      </c>
      <c r="O12" s="89" t="n">
        <v>2600</v>
      </c>
      <c r="P12" s="87" t="n">
        <v>6500</v>
      </c>
      <c r="Q12" s="89" t="n">
        <v>79</v>
      </c>
      <c r="R12" s="89" t="n">
        <v>3033</v>
      </c>
    </row>
    <row r="13" ht="14" customHeight="1" s="30">
      <c r="A13" s="85" t="inlineStr">
        <is>
          <t>WALL-HP</t>
        </is>
      </c>
      <c r="B13" s="85" t="inlineStr">
        <is>
          <t>18k</t>
        </is>
      </c>
      <c r="C13" s="85" t="inlineStr">
        <is>
          <t>RXF18BVJU*</t>
        </is>
      </c>
      <c r="D13" s="85" t="inlineStr">
        <is>
          <t>-</t>
        </is>
      </c>
      <c r="E13" s="85" t="inlineStr">
        <is>
          <t>FTXF18BVJU*</t>
        </is>
      </c>
      <c r="F13" s="85" t="inlineStr">
        <is>
          <t>-</t>
        </is>
      </c>
      <c r="G13" s="85" t="inlineStr">
        <is>
          <t>-</t>
        </is>
      </c>
      <c r="H13" s="85" t="inlineStr">
        <is>
          <t>-</t>
        </is>
      </c>
      <c r="I13" s="85" t="inlineStr">
        <is>
          <t>Remote (incl.)</t>
        </is>
      </c>
      <c r="J13" s="85" t="inlineStr">
        <is>
          <t>—</t>
        </is>
      </c>
      <c r="K13" s="86" t="n">
        <v>2075</v>
      </c>
      <c r="L13" s="86" t="n">
        <v>1100</v>
      </c>
      <c r="M13" s="86" t="n">
        <v>100</v>
      </c>
      <c r="N13" s="86" t="n">
        <v>960</v>
      </c>
      <c r="O13" s="86" t="n">
        <v>3275</v>
      </c>
      <c r="P13" s="87" t="n">
        <v>8000</v>
      </c>
      <c r="Q13" s="86" t="n">
        <v>97</v>
      </c>
      <c r="R13" s="86" t="n">
        <v>3733</v>
      </c>
    </row>
    <row r="14" ht="14" customHeight="1" s="30">
      <c r="A14" s="88" t="inlineStr">
        <is>
          <t>WALL-HP</t>
        </is>
      </c>
      <c r="B14" s="88" t="inlineStr">
        <is>
          <t>24k</t>
        </is>
      </c>
      <c r="C14" s="88" t="inlineStr">
        <is>
          <t>RXF24BVJU*</t>
        </is>
      </c>
      <c r="D14" s="88" t="inlineStr">
        <is>
          <t>-</t>
        </is>
      </c>
      <c r="E14" s="88" t="inlineStr">
        <is>
          <t>FTXF24BVJU*</t>
        </is>
      </c>
      <c r="F14" s="88" t="inlineStr">
        <is>
          <t>-</t>
        </is>
      </c>
      <c r="G14" s="88" t="inlineStr">
        <is>
          <t>-</t>
        </is>
      </c>
      <c r="H14" s="88" t="inlineStr">
        <is>
          <t>-</t>
        </is>
      </c>
      <c r="I14" s="88" t="inlineStr">
        <is>
          <t>Remote (incl.)</t>
        </is>
      </c>
      <c r="J14" s="88" t="inlineStr">
        <is>
          <t>—</t>
        </is>
      </c>
      <c r="K14" s="89" t="n">
        <v>2180</v>
      </c>
      <c r="L14" s="89" t="n">
        <v>1100</v>
      </c>
      <c r="M14" s="89" t="n">
        <v>100</v>
      </c>
      <c r="N14" s="89" t="n">
        <v>1080</v>
      </c>
      <c r="O14" s="89" t="n">
        <v>3380</v>
      </c>
      <c r="P14" s="87" t="n">
        <v>9000</v>
      </c>
      <c r="Q14" s="89" t="n">
        <v>109</v>
      </c>
      <c r="R14" s="89" t="n">
        <v>4200</v>
      </c>
    </row>
    <row r="16" ht="16" customHeight="1" s="30">
      <c r="A16" s="84" t="inlineStr">
        <is>
          <t>WALL COOLING ONLY — OTERRA 21 SEER (RKF-BV outdoor + FTKF-BV indoor) · Permit $100 · $250 FLAT spiff · MSRP ★ ESTIMATE</t>
        </is>
      </c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1" t="n"/>
    </row>
    <row r="17" ht="14" customHeight="1" s="30">
      <c r="A17" s="85" t="inlineStr">
        <is>
          <t>WALL-COOL</t>
        </is>
      </c>
      <c r="B17" s="85" t="inlineStr">
        <is>
          <t>9k</t>
        </is>
      </c>
      <c r="C17" s="85" t="inlineStr">
        <is>
          <t>-</t>
        </is>
      </c>
      <c r="D17" s="85" t="inlineStr">
        <is>
          <t>RKF09BVJU9</t>
        </is>
      </c>
      <c r="E17" s="85" t="inlineStr">
        <is>
          <t>FTKF09BVJU9</t>
        </is>
      </c>
      <c r="F17" s="85" t="inlineStr">
        <is>
          <t>-</t>
        </is>
      </c>
      <c r="G17" s="85" t="inlineStr">
        <is>
          <t>-</t>
        </is>
      </c>
      <c r="H17" s="85" t="inlineStr">
        <is>
          <t>-</t>
        </is>
      </c>
      <c r="I17" s="85" t="inlineStr">
        <is>
          <t>Remote (incl.)</t>
        </is>
      </c>
      <c r="J17" s="85" t="inlineStr">
        <is>
          <t>—</t>
        </is>
      </c>
      <c r="K17" s="86" t="n">
        <v>1041</v>
      </c>
      <c r="L17" s="86" t="n">
        <v>1100</v>
      </c>
      <c r="M17" s="86" t="n">
        <v>100</v>
      </c>
      <c r="N17" s="86" t="n">
        <v>250</v>
      </c>
      <c r="O17" s="86" t="n">
        <v>2241</v>
      </c>
      <c r="P17" s="87" t="n">
        <v>5000</v>
      </c>
      <c r="Q17" s="86" t="n">
        <v>60</v>
      </c>
      <c r="R17" s="86" t="n">
        <v>2333</v>
      </c>
    </row>
    <row r="18" ht="14" customHeight="1" s="30">
      <c r="A18" s="88" t="inlineStr">
        <is>
          <t>WALL-COOL</t>
        </is>
      </c>
      <c r="B18" s="88" t="inlineStr">
        <is>
          <t>12k</t>
        </is>
      </c>
      <c r="C18" s="88" t="inlineStr">
        <is>
          <t>-</t>
        </is>
      </c>
      <c r="D18" s="88" t="inlineStr">
        <is>
          <t>RKF12BVJU9</t>
        </is>
      </c>
      <c r="E18" s="88" t="inlineStr">
        <is>
          <t>FTKF12BVJU9</t>
        </is>
      </c>
      <c r="F18" s="88" t="inlineStr">
        <is>
          <t>-</t>
        </is>
      </c>
      <c r="G18" s="88" t="inlineStr">
        <is>
          <t>-</t>
        </is>
      </c>
      <c r="H18" s="88" t="inlineStr">
        <is>
          <t>-</t>
        </is>
      </c>
      <c r="I18" s="88" t="inlineStr">
        <is>
          <t>Remote (incl.)</t>
        </is>
      </c>
      <c r="J18" s="88" t="inlineStr">
        <is>
          <t>—</t>
        </is>
      </c>
      <c r="K18" s="89" t="n">
        <v>1258</v>
      </c>
      <c r="L18" s="89" t="n">
        <v>1100</v>
      </c>
      <c r="M18" s="89" t="n">
        <v>100</v>
      </c>
      <c r="N18" s="89" t="n">
        <v>250</v>
      </c>
      <c r="O18" s="89" t="n">
        <v>2458</v>
      </c>
      <c r="P18" s="87" t="n">
        <v>5750</v>
      </c>
      <c r="Q18" s="89" t="n">
        <v>70</v>
      </c>
      <c r="R18" s="89" t="n">
        <v>2683</v>
      </c>
    </row>
    <row r="19" ht="14" customHeight="1" s="30">
      <c r="A19" s="85" t="inlineStr">
        <is>
          <t>WALL-COOL</t>
        </is>
      </c>
      <c r="B19" s="85" t="inlineStr">
        <is>
          <t>18k</t>
        </is>
      </c>
      <c r="C19" s="85" t="inlineStr">
        <is>
          <t>-</t>
        </is>
      </c>
      <c r="D19" s="85" t="inlineStr">
        <is>
          <t>RKF18BVJU9</t>
        </is>
      </c>
      <c r="E19" s="85" t="inlineStr">
        <is>
          <t>FTKF18BVJU9</t>
        </is>
      </c>
      <c r="F19" s="85" t="inlineStr">
        <is>
          <t>-</t>
        </is>
      </c>
      <c r="G19" s="85" t="inlineStr">
        <is>
          <t>-</t>
        </is>
      </c>
      <c r="H19" s="85" t="inlineStr">
        <is>
          <t>-</t>
        </is>
      </c>
      <c r="I19" s="85" t="inlineStr">
        <is>
          <t>Remote (incl.)</t>
        </is>
      </c>
      <c r="J19" s="85" t="inlineStr">
        <is>
          <t>—</t>
        </is>
      </c>
      <c r="K19" s="86" t="n">
        <v>1890</v>
      </c>
      <c r="L19" s="86" t="n">
        <v>1100</v>
      </c>
      <c r="M19" s="86" t="n">
        <v>100</v>
      </c>
      <c r="N19" s="86" t="n">
        <v>250</v>
      </c>
      <c r="O19" s="86" t="n">
        <v>3090</v>
      </c>
      <c r="P19" s="87" t="n">
        <v>7000</v>
      </c>
      <c r="Q19" s="86" t="n">
        <v>85</v>
      </c>
      <c r="R19" s="86" t="n">
        <v>3267</v>
      </c>
    </row>
    <row r="20" ht="14" customHeight="1" s="30">
      <c r="A20" s="88" t="inlineStr">
        <is>
          <t>WALL-COOL</t>
        </is>
      </c>
      <c r="B20" s="88" t="inlineStr">
        <is>
          <t>24k</t>
        </is>
      </c>
      <c r="C20" s="88" t="inlineStr">
        <is>
          <t>-</t>
        </is>
      </c>
      <c r="D20" s="88" t="inlineStr">
        <is>
          <t>RKF24BVJU9</t>
        </is>
      </c>
      <c r="E20" s="88" t="inlineStr">
        <is>
          <t>FTKF24BVJU9</t>
        </is>
      </c>
      <c r="F20" s="88" t="inlineStr">
        <is>
          <t>-</t>
        </is>
      </c>
      <c r="G20" s="88" t="inlineStr">
        <is>
          <t>-</t>
        </is>
      </c>
      <c r="H20" s="88" t="inlineStr">
        <is>
          <t>-</t>
        </is>
      </c>
      <c r="I20" s="88" t="inlineStr">
        <is>
          <t>Remote (incl.)</t>
        </is>
      </c>
      <c r="J20" s="88" t="inlineStr">
        <is>
          <t>—</t>
        </is>
      </c>
      <c r="K20" s="89" t="n">
        <v>2010</v>
      </c>
      <c r="L20" s="89" t="n">
        <v>1100</v>
      </c>
      <c r="M20" s="89" t="n">
        <v>100</v>
      </c>
      <c r="N20" s="89" t="n">
        <v>250</v>
      </c>
      <c r="O20" s="89" t="n">
        <v>3210</v>
      </c>
      <c r="P20" s="87" t="n">
        <v>8000</v>
      </c>
      <c r="Q20" s="89" t="n">
        <v>97</v>
      </c>
      <c r="R20" s="89" t="n">
        <v>3733</v>
      </c>
    </row>
    <row r="22" ht="16" customHeight="1" s="30">
      <c r="A22" s="84" t="inlineStr">
        <is>
          <t>WALL HEAT PUMP — AURORA 21 SEER2 (RXT-AV outdoor + FTXV-AV indoor) · Permit $100 · 12% spiff · MSRP ★ ESTIMATE</t>
        </is>
      </c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</row>
    <row r="23" ht="14" customHeight="1" s="30">
      <c r="A23" s="85" t="inlineStr">
        <is>
          <t>WALL-HP</t>
        </is>
      </c>
      <c r="B23" s="85" t="inlineStr">
        <is>
          <t>9k</t>
        </is>
      </c>
      <c r="C23" s="85" t="inlineStr">
        <is>
          <t>RXT09AVJU9</t>
        </is>
      </c>
      <c r="D23" s="85" t="inlineStr">
        <is>
          <t>-</t>
        </is>
      </c>
      <c r="E23" s="85" t="inlineStr">
        <is>
          <t>FTXV09AVJU9</t>
        </is>
      </c>
      <c r="F23" s="85" t="inlineStr">
        <is>
          <t>-</t>
        </is>
      </c>
      <c r="G23" s="85" t="inlineStr">
        <is>
          <t>-</t>
        </is>
      </c>
      <c r="H23" s="85" t="inlineStr">
        <is>
          <t>-</t>
        </is>
      </c>
      <c r="I23" s="85" t="inlineStr">
        <is>
          <t>DTST-LTE ($256)</t>
        </is>
      </c>
      <c r="J23" s="85" t="inlineStr">
        <is>
          <t>—</t>
        </is>
      </c>
      <c r="K23" s="86" t="n">
        <v>1860</v>
      </c>
      <c r="L23" s="86" t="n">
        <v>1100</v>
      </c>
      <c r="M23" s="86" t="n">
        <v>100</v>
      </c>
      <c r="N23" s="86" t="n">
        <v>780</v>
      </c>
      <c r="O23" s="86" t="n">
        <v>3060</v>
      </c>
      <c r="P23" s="87" t="n">
        <v>6500</v>
      </c>
      <c r="Q23" s="86" t="n">
        <v>79</v>
      </c>
      <c r="R23" s="86" t="n">
        <v>3033</v>
      </c>
    </row>
    <row r="24" ht="14" customHeight="1" s="30">
      <c r="A24" s="88" t="inlineStr">
        <is>
          <t>WALL-HP</t>
        </is>
      </c>
      <c r="B24" s="88" t="inlineStr">
        <is>
          <t>12k</t>
        </is>
      </c>
      <c r="C24" s="88" t="inlineStr">
        <is>
          <t>RXT12AVJU9</t>
        </is>
      </c>
      <c r="D24" s="88" t="inlineStr">
        <is>
          <t>-</t>
        </is>
      </c>
      <c r="E24" s="88" t="inlineStr">
        <is>
          <t>FTXV12AVJU9</t>
        </is>
      </c>
      <c r="F24" s="88" t="inlineStr">
        <is>
          <t>-</t>
        </is>
      </c>
      <c r="G24" s="88" t="inlineStr">
        <is>
          <t>-</t>
        </is>
      </c>
      <c r="H24" s="88" t="inlineStr">
        <is>
          <t>-</t>
        </is>
      </c>
      <c r="I24" s="88" t="inlineStr">
        <is>
          <t>DTST-LTE ($256)</t>
        </is>
      </c>
      <c r="J24" s="88" t="inlineStr">
        <is>
          <t>—</t>
        </is>
      </c>
      <c r="K24" s="89" t="n">
        <v>1955</v>
      </c>
      <c r="L24" s="89" t="n">
        <v>1100</v>
      </c>
      <c r="M24" s="89" t="n">
        <v>100</v>
      </c>
      <c r="N24" s="89" t="n">
        <v>900</v>
      </c>
      <c r="O24" s="89" t="n">
        <v>3155</v>
      </c>
      <c r="P24" s="87" t="n">
        <v>7500</v>
      </c>
      <c r="Q24" s="89" t="n">
        <v>91</v>
      </c>
      <c r="R24" s="89" t="n">
        <v>3500</v>
      </c>
    </row>
    <row r="25" ht="14" customHeight="1" s="30">
      <c r="A25" s="85" t="inlineStr">
        <is>
          <t>WALL-HP</t>
        </is>
      </c>
      <c r="B25" s="85" t="inlineStr">
        <is>
          <t>15k</t>
        </is>
      </c>
      <c r="C25" s="85" t="inlineStr">
        <is>
          <t>RXT15AVJU9</t>
        </is>
      </c>
      <c r="D25" s="85" t="inlineStr">
        <is>
          <t>-</t>
        </is>
      </c>
      <c r="E25" s="85" t="inlineStr">
        <is>
          <t>FTXV15AVJU9</t>
        </is>
      </c>
      <c r="F25" s="85" t="inlineStr">
        <is>
          <t>-</t>
        </is>
      </c>
      <c r="G25" s="85" t="inlineStr">
        <is>
          <t>-</t>
        </is>
      </c>
      <c r="H25" s="85" t="inlineStr">
        <is>
          <t>-</t>
        </is>
      </c>
      <c r="I25" s="85" t="inlineStr">
        <is>
          <t>DTST-LTE ($256)</t>
        </is>
      </c>
      <c r="J25" s="85" t="inlineStr">
        <is>
          <t>—</t>
        </is>
      </c>
      <c r="K25" s="86" t="n">
        <v>2638</v>
      </c>
      <c r="L25" s="86" t="n">
        <v>1100</v>
      </c>
      <c r="M25" s="86" t="n">
        <v>100</v>
      </c>
      <c r="N25" s="86" t="n">
        <v>1080</v>
      </c>
      <c r="O25" s="86" t="n">
        <v>3838</v>
      </c>
      <c r="P25" s="87" t="n">
        <v>9000</v>
      </c>
      <c r="Q25" s="86" t="n">
        <v>109</v>
      </c>
      <c r="R25" s="86" t="n">
        <v>4200</v>
      </c>
    </row>
    <row r="26" ht="14" customHeight="1" s="30">
      <c r="A26" s="88" t="inlineStr">
        <is>
          <t>WALL-HP</t>
        </is>
      </c>
      <c r="B26" s="88" t="inlineStr">
        <is>
          <t>18k</t>
        </is>
      </c>
      <c r="C26" s="88" t="inlineStr">
        <is>
          <t>RXT18AVJU9</t>
        </is>
      </c>
      <c r="D26" s="88" t="inlineStr">
        <is>
          <t>-</t>
        </is>
      </c>
      <c r="E26" s="88" t="inlineStr">
        <is>
          <t>FTXV18AVJU9</t>
        </is>
      </c>
      <c r="F26" s="88" t="inlineStr">
        <is>
          <t>-</t>
        </is>
      </c>
      <c r="G26" s="88" t="inlineStr">
        <is>
          <t>-</t>
        </is>
      </c>
      <c r="H26" s="88" t="inlineStr">
        <is>
          <t>-</t>
        </is>
      </c>
      <c r="I26" s="88" t="inlineStr">
        <is>
          <t>DTST-LTE ($256)</t>
        </is>
      </c>
      <c r="J26" s="88" t="inlineStr">
        <is>
          <t>—</t>
        </is>
      </c>
      <c r="K26" s="89" t="n">
        <v>2981</v>
      </c>
      <c r="L26" s="89" t="n">
        <v>1100</v>
      </c>
      <c r="M26" s="89" t="n">
        <v>100</v>
      </c>
      <c r="N26" s="89" t="n">
        <v>1260</v>
      </c>
      <c r="O26" s="89" t="n">
        <v>4181</v>
      </c>
      <c r="P26" s="87" t="n">
        <v>10500</v>
      </c>
      <c r="Q26" s="89" t="n">
        <v>127</v>
      </c>
      <c r="R26" s="89" t="n">
        <v>4900</v>
      </c>
    </row>
    <row r="27" ht="14" customHeight="1" s="30">
      <c r="A27" s="85" t="inlineStr">
        <is>
          <t>WALL-HP</t>
        </is>
      </c>
      <c r="B27" s="85" t="inlineStr">
        <is>
          <t>24k</t>
        </is>
      </c>
      <c r="C27" s="85" t="inlineStr">
        <is>
          <t>RXT24AVJU9</t>
        </is>
      </c>
      <c r="D27" s="85" t="inlineStr">
        <is>
          <t>-</t>
        </is>
      </c>
      <c r="E27" s="85" t="inlineStr">
        <is>
          <t>FTXV24AVJU9</t>
        </is>
      </c>
      <c r="F27" s="85" t="inlineStr">
        <is>
          <t>-</t>
        </is>
      </c>
      <c r="G27" s="85" t="inlineStr">
        <is>
          <t>-</t>
        </is>
      </c>
      <c r="H27" s="85" t="inlineStr">
        <is>
          <t>-</t>
        </is>
      </c>
      <c r="I27" s="85" t="inlineStr">
        <is>
          <t>DTST-LTE ($256)</t>
        </is>
      </c>
      <c r="J27" s="85" t="inlineStr">
        <is>
          <t>—</t>
        </is>
      </c>
      <c r="K27" s="86" t="n">
        <v>3235</v>
      </c>
      <c r="L27" s="86" t="n">
        <v>1100</v>
      </c>
      <c r="M27" s="86" t="n">
        <v>100</v>
      </c>
      <c r="N27" s="86" t="n">
        <v>1440</v>
      </c>
      <c r="O27" s="86" t="n">
        <v>4435</v>
      </c>
      <c r="P27" s="87" t="n">
        <v>12000</v>
      </c>
      <c r="Q27" s="86" t="n">
        <v>145</v>
      </c>
      <c r="R27" s="86" t="n">
        <v>5600</v>
      </c>
    </row>
    <row r="29" ht="16" customHeight="1" s="30">
      <c r="A29" s="84" t="inlineStr">
        <is>
          <t>DUCTED HEAT PUMP — AURORA (RXP-AV outdoor + FDMA-AV ducted indoor) · Permit $100 · 12% spiff · MSRP ★ ESTIMATE</t>
        </is>
      </c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1" t="n"/>
    </row>
    <row r="30" ht="14" customHeight="1" s="30">
      <c r="A30" s="85" t="inlineStr">
        <is>
          <t>DUCTED-HP</t>
        </is>
      </c>
      <c r="B30" s="85" t="inlineStr">
        <is>
          <t>9k</t>
        </is>
      </c>
      <c r="C30" s="85" t="inlineStr">
        <is>
          <t>RXP09AVJU9</t>
        </is>
      </c>
      <c r="D30" s="85" t="inlineStr">
        <is>
          <t>-</t>
        </is>
      </c>
      <c r="E30" s="85" t="inlineStr">
        <is>
          <t>FDMA09AVJU9</t>
        </is>
      </c>
      <c r="F30" s="85" t="inlineStr">
        <is>
          <t>-</t>
        </is>
      </c>
      <c r="G30" s="85" t="inlineStr">
        <is>
          <t>-</t>
        </is>
      </c>
      <c r="H30" s="85" t="inlineStr">
        <is>
          <t>-</t>
        </is>
      </c>
      <c r="I30" s="85" t="inlineStr">
        <is>
          <t>DTST-LTE ($256)</t>
        </is>
      </c>
      <c r="J30" s="85" t="inlineStr">
        <is>
          <t>—</t>
        </is>
      </c>
      <c r="K30" s="86" t="n">
        <v>2485</v>
      </c>
      <c r="L30" s="86" t="n">
        <v>1100</v>
      </c>
      <c r="M30" s="86" t="n">
        <v>100</v>
      </c>
      <c r="N30" s="86" t="n">
        <v>840</v>
      </c>
      <c r="O30" s="86" t="n">
        <v>3685</v>
      </c>
      <c r="P30" s="87" t="n">
        <v>7000</v>
      </c>
      <c r="Q30" s="86" t="n">
        <v>85</v>
      </c>
      <c r="R30" s="86" t="n">
        <v>3267</v>
      </c>
    </row>
    <row r="31" ht="14" customHeight="1" s="30">
      <c r="A31" s="88" t="inlineStr">
        <is>
          <t>DUCTED-HP</t>
        </is>
      </c>
      <c r="B31" s="88" t="inlineStr">
        <is>
          <t>12k</t>
        </is>
      </c>
      <c r="C31" s="88" t="inlineStr">
        <is>
          <t>RXP12AVJU9</t>
        </is>
      </c>
      <c r="D31" s="88" t="inlineStr">
        <is>
          <t>-</t>
        </is>
      </c>
      <c r="E31" s="88" t="inlineStr">
        <is>
          <t>FDMA12AVJU9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DTST-LTE ($256)</t>
        </is>
      </c>
      <c r="J31" s="88" t="inlineStr">
        <is>
          <t>—</t>
        </is>
      </c>
      <c r="K31" s="89" t="n">
        <v>2672</v>
      </c>
      <c r="L31" s="89" t="n">
        <v>1100</v>
      </c>
      <c r="M31" s="89" t="n">
        <v>100</v>
      </c>
      <c r="N31" s="89" t="n">
        <v>960</v>
      </c>
      <c r="O31" s="89" t="n">
        <v>3872</v>
      </c>
      <c r="P31" s="87" t="n">
        <v>8000</v>
      </c>
      <c r="Q31" s="89" t="n">
        <v>97</v>
      </c>
      <c r="R31" s="89" t="n">
        <v>3733</v>
      </c>
    </row>
    <row r="32" ht="14" customHeight="1" s="30">
      <c r="A32" s="85" t="inlineStr">
        <is>
          <t>DUCTED-HP</t>
        </is>
      </c>
      <c r="B32" s="85" t="inlineStr">
        <is>
          <t>15k</t>
        </is>
      </c>
      <c r="C32" s="85" t="inlineStr">
        <is>
          <t>RXP15AVJU9</t>
        </is>
      </c>
      <c r="D32" s="85" t="inlineStr">
        <is>
          <t>-</t>
        </is>
      </c>
      <c r="E32" s="85" t="inlineStr">
        <is>
          <t>FDMA15AVJU9</t>
        </is>
      </c>
      <c r="F32" s="85" t="inlineStr">
        <is>
          <t>-</t>
        </is>
      </c>
      <c r="G32" s="85" t="inlineStr">
        <is>
          <t>-</t>
        </is>
      </c>
      <c r="H32" s="85" t="inlineStr">
        <is>
          <t>-</t>
        </is>
      </c>
      <c r="I32" s="85" t="inlineStr">
        <is>
          <t>DTST-LTE ($256)</t>
        </is>
      </c>
      <c r="J32" s="85" t="inlineStr">
        <is>
          <t>—</t>
        </is>
      </c>
      <c r="K32" s="86" t="n">
        <v>3336</v>
      </c>
      <c r="L32" s="86" t="n">
        <v>1100</v>
      </c>
      <c r="M32" s="86" t="n">
        <v>100</v>
      </c>
      <c r="N32" s="86" t="n">
        <v>1140</v>
      </c>
      <c r="O32" s="86" t="n">
        <v>4536</v>
      </c>
      <c r="P32" s="87" t="n">
        <v>9500</v>
      </c>
      <c r="Q32" s="86" t="n">
        <v>115</v>
      </c>
      <c r="R32" s="86" t="n">
        <v>4433</v>
      </c>
    </row>
    <row r="33" ht="14" customHeight="1" s="30">
      <c r="A33" s="88" t="inlineStr">
        <is>
          <t>DUCTED-HP</t>
        </is>
      </c>
      <c r="B33" s="88" t="inlineStr">
        <is>
          <t>18k</t>
        </is>
      </c>
      <c r="C33" s="88" t="inlineStr">
        <is>
          <t>RXP18AVJU9</t>
        </is>
      </c>
      <c r="D33" s="88" t="inlineStr">
        <is>
          <t>-</t>
        </is>
      </c>
      <c r="E33" s="88" t="inlineStr">
        <is>
          <t>FDMA18AVJU9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DTST-LTE ($256)</t>
        </is>
      </c>
      <c r="J33" s="88" t="inlineStr">
        <is>
          <t>—</t>
        </is>
      </c>
      <c r="K33" s="89" t="n">
        <v>3816</v>
      </c>
      <c r="L33" s="89" t="n">
        <v>1100</v>
      </c>
      <c r="M33" s="89" t="n">
        <v>100</v>
      </c>
      <c r="N33" s="89" t="n">
        <v>1320</v>
      </c>
      <c r="O33" s="89" t="n">
        <v>5016</v>
      </c>
      <c r="P33" s="87" t="n">
        <v>11000</v>
      </c>
      <c r="Q33" s="89" t="n">
        <v>133</v>
      </c>
      <c r="R33" s="89" t="n">
        <v>5133</v>
      </c>
    </row>
    <row r="34" ht="14" customHeight="1" s="30">
      <c r="A34" s="85" t="inlineStr">
        <is>
          <t>DUCTED-HP</t>
        </is>
      </c>
      <c r="B34" s="85" t="inlineStr">
        <is>
          <t>24k</t>
        </is>
      </c>
      <c r="C34" s="85" t="inlineStr">
        <is>
          <t>RXP24AVJU9</t>
        </is>
      </c>
      <c r="D34" s="85" t="inlineStr">
        <is>
          <t>-</t>
        </is>
      </c>
      <c r="E34" s="85" t="inlineStr">
        <is>
          <t>FDMA24AVJU9</t>
        </is>
      </c>
      <c r="F34" s="85" t="inlineStr">
        <is>
          <t>-</t>
        </is>
      </c>
      <c r="G34" s="85" t="inlineStr">
        <is>
          <t>-</t>
        </is>
      </c>
      <c r="H34" s="85" t="inlineStr">
        <is>
          <t>-</t>
        </is>
      </c>
      <c r="I34" s="85" t="inlineStr">
        <is>
          <t>DTST-LTE ($256)</t>
        </is>
      </c>
      <c r="J34" s="85" t="inlineStr">
        <is>
          <t>—</t>
        </is>
      </c>
      <c r="K34" s="86" t="n">
        <v>4369</v>
      </c>
      <c r="L34" s="86" t="n">
        <v>1100</v>
      </c>
      <c r="M34" s="86" t="n">
        <v>100</v>
      </c>
      <c r="N34" s="86" t="n">
        <v>1500</v>
      </c>
      <c r="O34" s="86" t="n">
        <v>5569</v>
      </c>
      <c r="P34" s="87" t="n">
        <v>12500</v>
      </c>
      <c r="Q34" s="86" t="n">
        <v>151</v>
      </c>
      <c r="R34" s="86" t="n">
        <v>5833</v>
      </c>
    </row>
    <row r="36" ht="16" customHeight="1" s="30">
      <c r="A36" s="84" t="inlineStr">
        <is>
          <t>WALL HEAT PUMP — ATMOSPHERA 22-27 SEER2 (RXM-WV outdoor + FTXM-U9 indoor) · Permit $100 · 12% spiff · MSRP ★ ESTIMATE</t>
        </is>
      </c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1" t="n"/>
    </row>
    <row r="37" ht="14" customHeight="1" s="30">
      <c r="A37" s="85" t="inlineStr">
        <is>
          <t>WALL-HP</t>
        </is>
      </c>
      <c r="B37" s="85" t="inlineStr">
        <is>
          <t>9k</t>
        </is>
      </c>
      <c r="C37" s="85" t="inlineStr">
        <is>
          <t>RXM09WVJU9</t>
        </is>
      </c>
      <c r="D37" s="85" t="inlineStr">
        <is>
          <t>-</t>
        </is>
      </c>
      <c r="E37" s="85" t="inlineStr">
        <is>
          <t>FTXM09WVJU9</t>
        </is>
      </c>
      <c r="F37" s="85" t="inlineStr">
        <is>
          <t>-</t>
        </is>
      </c>
      <c r="G37" s="85" t="inlineStr">
        <is>
          <t>-</t>
        </is>
      </c>
      <c r="H37" s="85" t="inlineStr">
        <is>
          <t>-</t>
        </is>
      </c>
      <c r="I37" s="85" t="inlineStr">
        <is>
          <t>DTST-LTE ($256)</t>
        </is>
      </c>
      <c r="J37" s="85" t="inlineStr">
        <is>
          <t>—</t>
        </is>
      </c>
      <c r="K37" s="86" t="n">
        <v>1833</v>
      </c>
      <c r="L37" s="86" t="n">
        <v>1100</v>
      </c>
      <c r="M37" s="86" t="n">
        <v>100</v>
      </c>
      <c r="N37" s="86" t="n">
        <v>960</v>
      </c>
      <c r="O37" s="86" t="n">
        <v>3033</v>
      </c>
      <c r="P37" s="87" t="n">
        <v>8000</v>
      </c>
      <c r="Q37" s="86" t="n">
        <v>97</v>
      </c>
      <c r="R37" s="86" t="n">
        <v>3733</v>
      </c>
    </row>
    <row r="38" ht="14" customHeight="1" s="30">
      <c r="A38" s="88" t="inlineStr">
        <is>
          <t>WALL-HP</t>
        </is>
      </c>
      <c r="B38" s="88" t="inlineStr">
        <is>
          <t>12k</t>
        </is>
      </c>
      <c r="C38" s="88" t="inlineStr">
        <is>
          <t>RXM12WVJU9</t>
        </is>
      </c>
      <c r="D38" s="88" t="inlineStr">
        <is>
          <t>-</t>
        </is>
      </c>
      <c r="E38" s="88" t="inlineStr">
        <is>
          <t>FTXM12WVJU9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DTST-LTE ($256)</t>
        </is>
      </c>
      <c r="J38" s="88" t="inlineStr">
        <is>
          <t>—</t>
        </is>
      </c>
      <c r="K38" s="89" t="n">
        <v>2105</v>
      </c>
      <c r="L38" s="89" t="n">
        <v>1100</v>
      </c>
      <c r="M38" s="89" t="n">
        <v>100</v>
      </c>
      <c r="N38" s="89" t="n">
        <v>1140</v>
      </c>
      <c r="O38" s="89" t="n">
        <v>3305</v>
      </c>
      <c r="P38" s="87" t="n">
        <v>9500</v>
      </c>
      <c r="Q38" s="89" t="n">
        <v>115</v>
      </c>
      <c r="R38" s="89" t="n">
        <v>4433</v>
      </c>
    </row>
    <row r="39" ht="14" customHeight="1" s="30">
      <c r="A39" s="85" t="inlineStr">
        <is>
          <t>WALL-HP</t>
        </is>
      </c>
      <c r="B39" s="85" t="inlineStr">
        <is>
          <t>18k</t>
        </is>
      </c>
      <c r="C39" s="85" t="inlineStr">
        <is>
          <t>RXM18WVJU9</t>
        </is>
      </c>
      <c r="D39" s="85" t="inlineStr">
        <is>
          <t>-</t>
        </is>
      </c>
      <c r="E39" s="85" t="inlineStr">
        <is>
          <t>FTXM18WVJU9</t>
        </is>
      </c>
      <c r="F39" s="85" t="inlineStr">
        <is>
          <t>-</t>
        </is>
      </c>
      <c r="G39" s="85" t="inlineStr">
        <is>
          <t>-</t>
        </is>
      </c>
      <c r="H39" s="85" t="inlineStr">
        <is>
          <t>-</t>
        </is>
      </c>
      <c r="I39" s="85" t="inlineStr">
        <is>
          <t>DTST-LTE ($256)</t>
        </is>
      </c>
      <c r="J39" s="85" t="inlineStr">
        <is>
          <t>—</t>
        </is>
      </c>
      <c r="K39" s="86" t="n">
        <v>3070</v>
      </c>
      <c r="L39" s="86" t="n">
        <v>1100</v>
      </c>
      <c r="M39" s="86" t="n">
        <v>100</v>
      </c>
      <c r="N39" s="86" t="n">
        <v>1440</v>
      </c>
      <c r="O39" s="86" t="n">
        <v>4270</v>
      </c>
      <c r="P39" s="87" t="n">
        <v>12000</v>
      </c>
      <c r="Q39" s="86" t="n">
        <v>145</v>
      </c>
      <c r="R39" s="86" t="n">
        <v>5600</v>
      </c>
    </row>
    <row r="40" ht="14" customHeight="1" s="30">
      <c r="A40" s="88" t="inlineStr">
        <is>
          <t>WALL-HP</t>
        </is>
      </c>
      <c r="B40" s="88" t="inlineStr">
        <is>
          <t>24k</t>
        </is>
      </c>
      <c r="C40" s="88" t="inlineStr">
        <is>
          <t>RXM24WVJU9</t>
        </is>
      </c>
      <c r="D40" s="88" t="inlineStr">
        <is>
          <t>-</t>
        </is>
      </c>
      <c r="E40" s="88" t="inlineStr">
        <is>
          <t>FTXM24WVJU9</t>
        </is>
      </c>
      <c r="F40" s="88" t="inlineStr">
        <is>
          <t>-</t>
        </is>
      </c>
      <c r="G40" s="88" t="inlineStr">
        <is>
          <t>-</t>
        </is>
      </c>
      <c r="H40" s="88" t="inlineStr">
        <is>
          <t>-</t>
        </is>
      </c>
      <c r="I40" s="88" t="inlineStr">
        <is>
          <t>DTST-LTE ($256)</t>
        </is>
      </c>
      <c r="J40" s="88" t="inlineStr">
        <is>
          <t>—</t>
        </is>
      </c>
      <c r="K40" s="89" t="n">
        <v>3439</v>
      </c>
      <c r="L40" s="89" t="n">
        <v>1100</v>
      </c>
      <c r="M40" s="89" t="n">
        <v>100</v>
      </c>
      <c r="N40" s="89" t="n">
        <v>1680</v>
      </c>
      <c r="O40" s="89" t="n">
        <v>4639</v>
      </c>
      <c r="P40" s="87" t="n">
        <v>14000</v>
      </c>
      <c r="Q40" s="89" t="n">
        <v>169</v>
      </c>
      <c r="R40" s="89" t="n">
        <v>6533</v>
      </c>
    </row>
    <row r="42" ht="16" customHeight="1" s="30">
      <c r="A42" s="84" t="inlineStr">
        <is>
          <t>2-ZONE HEAT PUMP — MXM R-32 (2MXM outdoor + 2× FTXV wall indoor) · Permit $100 · 12% spiff · MSRP ★ ESTIMATE</t>
        </is>
      </c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1" t="n"/>
    </row>
    <row r="43" ht="14" customHeight="1" s="30">
      <c r="A43" s="85" t="inlineStr">
        <is>
          <t>2ZONE-HP</t>
        </is>
      </c>
      <c r="B43" s="85" t="inlineStr">
        <is>
          <t>2×9k</t>
        </is>
      </c>
      <c r="C43" s="85" t="inlineStr">
        <is>
          <t>2MXM18AVJU9</t>
        </is>
      </c>
      <c r="D43" s="85" t="inlineStr">
        <is>
          <t>-</t>
        </is>
      </c>
      <c r="E43" s="85" t="inlineStr">
        <is>
          <t>2×FTXV09AVJU9</t>
        </is>
      </c>
      <c r="F43" s="85" t="inlineStr">
        <is>
          <t>-</t>
        </is>
      </c>
      <c r="G43" s="85" t="inlineStr">
        <is>
          <t>-</t>
        </is>
      </c>
      <c r="H43" s="85" t="inlineStr">
        <is>
          <t>-</t>
        </is>
      </c>
      <c r="I43" s="85" t="inlineStr">
        <is>
          <t>DTST-LTE ($256)</t>
        </is>
      </c>
      <c r="J43" s="85" t="inlineStr">
        <is>
          <t>—</t>
        </is>
      </c>
      <c r="K43" s="86" t="n">
        <v>3073</v>
      </c>
      <c r="L43" s="86" t="n">
        <v>1600</v>
      </c>
      <c r="M43" s="86" t="n">
        <v>100</v>
      </c>
      <c r="N43" s="86" t="n">
        <v>1980</v>
      </c>
      <c r="O43" s="86" t="n">
        <v>4773</v>
      </c>
      <c r="P43" s="87" t="n">
        <v>16500</v>
      </c>
      <c r="Q43" s="86" t="n">
        <v>200</v>
      </c>
      <c r="R43" s="86" t="n">
        <v>7700</v>
      </c>
    </row>
    <row r="44" ht="14" customHeight="1" s="30">
      <c r="A44" s="88" t="inlineStr">
        <is>
          <t>2ZONE-HP</t>
        </is>
      </c>
      <c r="B44" s="88" t="inlineStr">
        <is>
          <t>2×12k</t>
        </is>
      </c>
      <c r="C44" s="88" t="inlineStr">
        <is>
          <t>2MXM18AVJU9</t>
        </is>
      </c>
      <c r="D44" s="88" t="inlineStr">
        <is>
          <t>-</t>
        </is>
      </c>
      <c r="E44" s="88" t="inlineStr">
        <is>
          <t>2×FTXV12AVJU9</t>
        </is>
      </c>
      <c r="F44" s="88" t="inlineStr">
        <is>
          <t>-</t>
        </is>
      </c>
      <c r="G44" s="88" t="inlineStr">
        <is>
          <t>-</t>
        </is>
      </c>
      <c r="H44" s="88" t="inlineStr">
        <is>
          <t>-</t>
        </is>
      </c>
      <c r="I44" s="88" t="inlineStr">
        <is>
          <t>DTST-LTE ($256)</t>
        </is>
      </c>
      <c r="J44" s="88" t="inlineStr">
        <is>
          <t>—</t>
        </is>
      </c>
      <c r="K44" s="89" t="n">
        <v>3159</v>
      </c>
      <c r="L44" s="89" t="n">
        <v>1600</v>
      </c>
      <c r="M44" s="89" t="n">
        <v>100</v>
      </c>
      <c r="N44" s="89" t="n">
        <v>2160</v>
      </c>
      <c r="O44" s="89" t="n">
        <v>4859</v>
      </c>
      <c r="P44" s="87" t="n">
        <v>18000</v>
      </c>
      <c r="Q44" s="89" t="n">
        <v>218</v>
      </c>
      <c r="R44" s="89" t="n">
        <v>8400</v>
      </c>
    </row>
    <row r="45" ht="14" customHeight="1" s="30">
      <c r="A45" s="85" t="inlineStr">
        <is>
          <t>2ZONE-HP</t>
        </is>
      </c>
      <c r="B45" s="85" t="inlineStr">
        <is>
          <t>12k+18k</t>
        </is>
      </c>
      <c r="C45" s="85" t="inlineStr">
        <is>
          <t>3MXM24AVJU9</t>
        </is>
      </c>
      <c r="D45" s="85" t="inlineStr">
        <is>
          <t>-</t>
        </is>
      </c>
      <c r="E45" s="85" t="inlineStr">
        <is>
          <t>FTXV12+FTXV18</t>
        </is>
      </c>
      <c r="F45" s="85" t="inlineStr">
        <is>
          <t>-</t>
        </is>
      </c>
      <c r="G45" s="85" t="inlineStr">
        <is>
          <t>-</t>
        </is>
      </c>
      <c r="H45" s="85" t="inlineStr">
        <is>
          <t>-</t>
        </is>
      </c>
      <c r="I45" s="85" t="inlineStr">
        <is>
          <t>DTST-LTE ($256)</t>
        </is>
      </c>
      <c r="J45" s="85" t="inlineStr">
        <is>
          <t>—</t>
        </is>
      </c>
      <c r="K45" s="86" t="n">
        <v>4062</v>
      </c>
      <c r="L45" s="86" t="n">
        <v>1600</v>
      </c>
      <c r="M45" s="86" t="n">
        <v>100</v>
      </c>
      <c r="N45" s="86" t="n">
        <v>2160</v>
      </c>
      <c r="O45" s="86" t="n">
        <v>5762</v>
      </c>
      <c r="P45" s="87" t="n">
        <v>18000</v>
      </c>
      <c r="Q45" s="86" t="n">
        <v>218</v>
      </c>
      <c r="R45" s="86" t="n">
        <v>8400</v>
      </c>
    </row>
  </sheetData>
  <mergeCells count="9">
    <mergeCell ref="A29:R29"/>
    <mergeCell ref="A2:R2"/>
    <mergeCell ref="A16:R16"/>
    <mergeCell ref="A10:R10"/>
    <mergeCell ref="A42:R42"/>
    <mergeCell ref="A36:R36"/>
    <mergeCell ref="A1:R1"/>
    <mergeCell ref="A22:R22"/>
    <mergeCell ref="A4:R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30" min="1" max="1"/>
    <col width="9" customWidth="1" style="30" min="2" max="2"/>
    <col width="16" customWidth="1" style="30" min="3" max="3"/>
    <col width="16" customWidth="1" style="30" min="4" max="4"/>
    <col width="16" customWidth="1" style="30" min="5" max="5"/>
    <col width="14" customWidth="1" style="30" min="6" max="6"/>
    <col width="14" customWidth="1" style="30" min="7" max="7"/>
    <col width="14" customWidth="1" style="30" min="8" max="8"/>
    <col width="15" customWidth="1" style="30" min="9" max="9"/>
    <col width="10" customWidth="1" style="30" min="10" max="10"/>
    <col width="11" customWidth="1" style="30" min="11" max="11"/>
    <col width="11" customWidth="1" style="30" min="12" max="12"/>
    <col width="8" customWidth="1" style="30" min="13" max="13"/>
    <col width="10" customWidth="1" style="30" min="14" max="14"/>
    <col width="13" customWidth="1" style="30" min="15" max="15"/>
    <col width="11" customWidth="1" style="30" min="16" max="16"/>
    <col width="9" customWidth="1" style="30" min="17" max="17"/>
    <col width="12" customWidth="1" style="30" min="18" max="18"/>
  </cols>
  <sheetData>
    <row r="1" ht="18" customHeight="1" s="30">
      <c r="A1" s="82" t="inlineStr">
        <is>
          <t>CM Heating Acct #22660 · Midea EVOX Ducted HP Systems · Gensco · Effective 6/12/2026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1" t="n"/>
    </row>
    <row r="2" ht="14" customHeight="1" s="30">
      <c r="A2" s="83" t="inlineStr">
        <is>
          <t>Payment ratio: 1.2093%/mo · Residual = MSRP×(180−N)/180 · ★ YELLOW MSRP CELLS = ESTIMATED — confirm with CM Heating CaaS contract officer ★ · G3 = Extreme Heat 17-18.6 SEER2 10-10.8 HSPF2 · G2 = Cold Climate 15-18 SEER2 · AC = condenser+A-coil only for use with EXISTING gas furnace — no furnace supplied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1" t="n"/>
    </row>
    <row r="3" ht="24" customHeight="1" s="30">
      <c r="A3" s="73" t="inlineStr">
        <is>
          <t>Job Type</t>
        </is>
      </c>
      <c r="B3" s="73" t="inlineStr">
        <is>
          <t>Size</t>
        </is>
      </c>
      <c r="C3" s="73" t="inlineStr">
        <is>
          <t>HP Model</t>
        </is>
      </c>
      <c r="D3" s="73" t="inlineStr">
        <is>
          <t>AC Model</t>
        </is>
      </c>
      <c r="E3" s="73" t="inlineStr">
        <is>
          <t>AH Model</t>
        </is>
      </c>
      <c r="F3" s="73" t="inlineStr">
        <is>
          <t>Furn Model</t>
        </is>
      </c>
      <c r="G3" s="73" t="inlineStr">
        <is>
          <t>Coil Model</t>
        </is>
      </c>
      <c r="H3" s="73" t="inlineStr">
        <is>
          <t>HS Model</t>
        </is>
      </c>
      <c r="I3" s="73" t="inlineStr">
        <is>
          <t>Thermo</t>
        </is>
      </c>
      <c r="J3" s="73" t="inlineStr">
        <is>
          <t>IAQ</t>
        </is>
      </c>
      <c r="K3" s="73" t="inlineStr">
        <is>
          <t>Equip Cost</t>
        </is>
      </c>
      <c r="L3" s="73" t="inlineStr">
        <is>
          <t>Labor</t>
        </is>
      </c>
      <c r="M3" s="73" t="inlineStr">
        <is>
          <t>Permit</t>
        </is>
      </c>
      <c r="N3" s="73" t="inlineStr">
        <is>
          <t>Spiff</t>
        </is>
      </c>
      <c r="O3" s="73" t="inlineStr">
        <is>
          <t>Total Job Cost</t>
        </is>
      </c>
      <c r="P3" s="73" t="inlineStr">
        <is>
          <t>MSRP</t>
        </is>
      </c>
      <c r="Q3" s="73" t="inlineStr">
        <is>
          <t>CaaS/mo</t>
        </is>
      </c>
      <c r="R3" s="73" t="inlineStr">
        <is>
          <t>Resid @ mo96</t>
        </is>
      </c>
    </row>
    <row r="4" ht="16" customHeight="1" s="30">
      <c r="A4" s="84" t="inlineStr">
        <is>
          <t>HP + AIR HANDLER (HPAH-G3) — EVOX G3 Extreme Heat · MO1HE/SE outdoor + MAUSE air handler + EAH-10FUL 10kW heat strip · MTL04-1 WiFi thermo · Permit $169.95 · 12% spiff · MSRP ★ ESTIMATE — all 2T–5T Active stock</t>
        </is>
      </c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</row>
    <row r="5" ht="14" customHeight="1" s="30">
      <c r="A5" s="85" t="inlineStr">
        <is>
          <t>HPAH-G3</t>
        </is>
      </c>
      <c r="B5" s="85" t="inlineStr">
        <is>
          <t>2T</t>
        </is>
      </c>
      <c r="C5" s="85" t="inlineStr">
        <is>
          <t>MO1HE-H24B-2A</t>
        </is>
      </c>
      <c r="D5" s="85" t="inlineStr">
        <is>
          <t>-</t>
        </is>
      </c>
      <c r="E5" s="85" t="inlineStr">
        <is>
          <t>MAUSE-H24B-2A</t>
        </is>
      </c>
      <c r="F5" s="85" t="inlineStr">
        <is>
          <t>-</t>
        </is>
      </c>
      <c r="G5" s="85" t="inlineStr">
        <is>
          <t>-</t>
        </is>
      </c>
      <c r="H5" s="85" t="inlineStr">
        <is>
          <t>EAH-10FUL</t>
        </is>
      </c>
      <c r="I5" s="85" t="inlineStr">
        <is>
          <t>MTL04-1 ($230)</t>
        </is>
      </c>
      <c r="J5" s="85" t="inlineStr">
        <is>
          <t>—</t>
        </is>
      </c>
      <c r="K5" s="86" t="n">
        <v>3865</v>
      </c>
      <c r="L5" s="86" t="n">
        <v>1593.03</v>
      </c>
      <c r="M5" s="86" t="n">
        <v>169.95</v>
      </c>
      <c r="N5" s="86" t="n">
        <v>2520</v>
      </c>
      <c r="O5" s="86" t="n">
        <v>5627.98</v>
      </c>
      <c r="P5" s="87" t="n">
        <v>21000</v>
      </c>
      <c r="Q5" s="86" t="n">
        <v>254</v>
      </c>
      <c r="R5" s="86" t="n">
        <v>9800</v>
      </c>
    </row>
    <row r="6" ht="14" customHeight="1" s="30">
      <c r="A6" s="88" t="inlineStr">
        <is>
          <t>HPAH-G3</t>
        </is>
      </c>
      <c r="B6" s="88" t="inlineStr">
        <is>
          <t>2.5T</t>
        </is>
      </c>
      <c r="C6" s="88" t="inlineStr">
        <is>
          <t>MO1HE-H30B-2A</t>
        </is>
      </c>
      <c r="D6" s="88" t="inlineStr">
        <is>
          <t>-</t>
        </is>
      </c>
      <c r="E6" s="88" t="inlineStr">
        <is>
          <t>MAUSE-H30B-2A</t>
        </is>
      </c>
      <c r="F6" s="88" t="inlineStr">
        <is>
          <t>-</t>
        </is>
      </c>
      <c r="G6" s="88" t="inlineStr">
        <is>
          <t>-</t>
        </is>
      </c>
      <c r="H6" s="88" t="inlineStr">
        <is>
          <t>EAH-10FUL</t>
        </is>
      </c>
      <c r="I6" s="88" t="inlineStr">
        <is>
          <t>MTL04-1 ($230)</t>
        </is>
      </c>
      <c r="J6" s="88" t="inlineStr">
        <is>
          <t>—</t>
        </is>
      </c>
      <c r="K6" s="89" t="n">
        <v>4547</v>
      </c>
      <c r="L6" s="89" t="n">
        <v>1593.03</v>
      </c>
      <c r="M6" s="89" t="n">
        <v>169.95</v>
      </c>
      <c r="N6" s="89" t="n">
        <v>2760</v>
      </c>
      <c r="O6" s="89" t="n">
        <v>6309.98</v>
      </c>
      <c r="P6" s="87" t="n">
        <v>23000</v>
      </c>
      <c r="Q6" s="89" t="n">
        <v>278</v>
      </c>
      <c r="R6" s="89" t="n">
        <v>10733</v>
      </c>
    </row>
    <row r="7" ht="14" customHeight="1" s="30">
      <c r="A7" s="85" t="inlineStr">
        <is>
          <t>HPAH-G3</t>
        </is>
      </c>
      <c r="B7" s="85" t="inlineStr">
        <is>
          <t>3T</t>
        </is>
      </c>
      <c r="C7" s="85" t="inlineStr">
        <is>
          <t>MO1SE-H36B-2A</t>
        </is>
      </c>
      <c r="D7" s="85" t="inlineStr">
        <is>
          <t>-</t>
        </is>
      </c>
      <c r="E7" s="85" t="inlineStr">
        <is>
          <t>MAUSE-H36B-2A</t>
        </is>
      </c>
      <c r="F7" s="85" t="inlineStr">
        <is>
          <t>-</t>
        </is>
      </c>
      <c r="G7" s="85" t="inlineStr">
        <is>
          <t>-</t>
        </is>
      </c>
      <c r="H7" s="85" t="inlineStr">
        <is>
          <t>EAH-10FUL</t>
        </is>
      </c>
      <c r="I7" s="85" t="inlineStr">
        <is>
          <t>MTL04-1 ($230)</t>
        </is>
      </c>
      <c r="J7" s="85" t="inlineStr">
        <is>
          <t>—</t>
        </is>
      </c>
      <c r="K7" s="86" t="n">
        <v>4980</v>
      </c>
      <c r="L7" s="86" t="n">
        <v>1593.03</v>
      </c>
      <c r="M7" s="86" t="n">
        <v>169.95</v>
      </c>
      <c r="N7" s="86" t="n">
        <v>3000</v>
      </c>
      <c r="O7" s="86" t="n">
        <v>6742.98</v>
      </c>
      <c r="P7" s="87" t="n">
        <v>25000</v>
      </c>
      <c r="Q7" s="86" t="n">
        <v>302</v>
      </c>
      <c r="R7" s="86" t="n">
        <v>11667</v>
      </c>
    </row>
    <row r="8" ht="14" customHeight="1" s="30">
      <c r="A8" s="88" t="inlineStr">
        <is>
          <t>HPAH-G3</t>
        </is>
      </c>
      <c r="B8" s="88" t="inlineStr">
        <is>
          <t>4T</t>
        </is>
      </c>
      <c r="C8" s="88" t="inlineStr">
        <is>
          <t>MO1HE-H48B-2A</t>
        </is>
      </c>
      <c r="D8" s="88" t="inlineStr">
        <is>
          <t>-</t>
        </is>
      </c>
      <c r="E8" s="88" t="inlineStr">
        <is>
          <t>MAUSE-H48B-2A</t>
        </is>
      </c>
      <c r="F8" s="88" t="inlineStr">
        <is>
          <t>-</t>
        </is>
      </c>
      <c r="G8" s="88" t="inlineStr">
        <is>
          <t>-</t>
        </is>
      </c>
      <c r="H8" s="88" t="inlineStr">
        <is>
          <t>EAH-10FUL</t>
        </is>
      </c>
      <c r="I8" s="88" t="inlineStr">
        <is>
          <t>MTL04-1 ($230)</t>
        </is>
      </c>
      <c r="J8" s="88" t="inlineStr">
        <is>
          <t>—</t>
        </is>
      </c>
      <c r="K8" s="89" t="n">
        <v>5946</v>
      </c>
      <c r="L8" s="89" t="n">
        <v>1593.03</v>
      </c>
      <c r="M8" s="89" t="n">
        <v>169.95</v>
      </c>
      <c r="N8" s="89" t="n">
        <v>3240</v>
      </c>
      <c r="O8" s="89" t="n">
        <v>7708.98</v>
      </c>
      <c r="P8" s="87" t="n">
        <v>27000</v>
      </c>
      <c r="Q8" s="89" t="n">
        <v>327</v>
      </c>
      <c r="R8" s="89" t="n">
        <v>12600</v>
      </c>
    </row>
    <row r="9" ht="14" customHeight="1" s="30">
      <c r="A9" s="85" t="inlineStr">
        <is>
          <t>HPAH-G3</t>
        </is>
      </c>
      <c r="B9" s="85" t="inlineStr">
        <is>
          <t>5T</t>
        </is>
      </c>
      <c r="C9" s="85" t="inlineStr">
        <is>
          <t>MO1HE-H60B-2A</t>
        </is>
      </c>
      <c r="D9" s="85" t="inlineStr">
        <is>
          <t>-</t>
        </is>
      </c>
      <c r="E9" s="85" t="inlineStr">
        <is>
          <t>MAUSE-H60B-2A</t>
        </is>
      </c>
      <c r="F9" s="85" t="inlineStr">
        <is>
          <t>-</t>
        </is>
      </c>
      <c r="G9" s="85" t="inlineStr">
        <is>
          <t>-</t>
        </is>
      </c>
      <c r="H9" s="85" t="inlineStr">
        <is>
          <t>EAH-10FUL</t>
        </is>
      </c>
      <c r="I9" s="85" t="inlineStr">
        <is>
          <t>MTL04-1 ($230)</t>
        </is>
      </c>
      <c r="J9" s="85" t="inlineStr">
        <is>
          <t>—</t>
        </is>
      </c>
      <c r="K9" s="86" t="n">
        <v>6474</v>
      </c>
      <c r="L9" s="86" t="n">
        <v>1593.03</v>
      </c>
      <c r="M9" s="86" t="n">
        <v>169.95</v>
      </c>
      <c r="N9" s="86" t="n">
        <v>3480</v>
      </c>
      <c r="O9" s="86" t="n">
        <v>8236.98</v>
      </c>
      <c r="P9" s="87" t="n">
        <v>29000</v>
      </c>
      <c r="Q9" s="86" t="n">
        <v>351</v>
      </c>
      <c r="R9" s="86" t="n">
        <v>13533</v>
      </c>
    </row>
    <row r="11" ht="16" customHeight="1" s="30">
      <c r="A11" s="84" t="inlineStr">
        <is>
          <t>HP + AIR HANDLER (HPAH-G2) — EVOX G2 Cold Climate · MO1BE outdoor + MAUHE air handler + EAH-10E 10kW heat strip · TL04 WiFi thermo · Permit $169.95 · 12% spiff · MSRP ★ ESTIMATE · 4T and 5T are Non-Branch stock (NB)</t>
        </is>
      </c>
      <c r="B11" s="80" t="n"/>
      <c r="C11" s="80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1" t="n"/>
    </row>
    <row r="12" ht="14" customHeight="1" s="30">
      <c r="A12" s="85" t="inlineStr">
        <is>
          <t>HPAH-G2</t>
        </is>
      </c>
      <c r="B12" s="85" t="inlineStr">
        <is>
          <t>2T</t>
        </is>
      </c>
      <c r="C12" s="85" t="inlineStr">
        <is>
          <t>MO1BE-H24B-2A</t>
        </is>
      </c>
      <c r="D12" s="85" t="inlineStr">
        <is>
          <t>-</t>
        </is>
      </c>
      <c r="E12" s="85" t="inlineStr">
        <is>
          <t>MAUHE-H24B-2A</t>
        </is>
      </c>
      <c r="F12" s="85" t="inlineStr">
        <is>
          <t>-</t>
        </is>
      </c>
      <c r="G12" s="85" t="inlineStr">
        <is>
          <t>-</t>
        </is>
      </c>
      <c r="H12" s="85" t="inlineStr">
        <is>
          <t>EAH-10E(UL)</t>
        </is>
      </c>
      <c r="I12" s="85" t="inlineStr">
        <is>
          <t>TL04 ($217)</t>
        </is>
      </c>
      <c r="J12" s="85" t="inlineStr">
        <is>
          <t>—</t>
        </is>
      </c>
      <c r="K12" s="86" t="n">
        <v>3150</v>
      </c>
      <c r="L12" s="86" t="n">
        <v>1593.03</v>
      </c>
      <c r="M12" s="86" t="n">
        <v>169.95</v>
      </c>
      <c r="N12" s="86" t="n">
        <v>2220</v>
      </c>
      <c r="O12" s="86" t="n">
        <v>4912.98</v>
      </c>
      <c r="P12" s="87" t="n">
        <v>18500</v>
      </c>
      <c r="Q12" s="86" t="n">
        <v>224</v>
      </c>
      <c r="R12" s="86" t="n">
        <v>8633</v>
      </c>
    </row>
    <row r="13" ht="14" customHeight="1" s="30">
      <c r="A13" s="88" t="inlineStr">
        <is>
          <t>HPAH-G2</t>
        </is>
      </c>
      <c r="B13" s="88" t="inlineStr">
        <is>
          <t>3T</t>
        </is>
      </c>
      <c r="C13" s="88" t="inlineStr">
        <is>
          <t>MO1BE-H36B-2A</t>
        </is>
      </c>
      <c r="D13" s="88" t="inlineStr">
        <is>
          <t>-</t>
        </is>
      </c>
      <c r="E13" s="88" t="inlineStr">
        <is>
          <t>MAUHE-H36B-2A</t>
        </is>
      </c>
      <c r="F13" s="88" t="inlineStr">
        <is>
          <t>-</t>
        </is>
      </c>
      <c r="G13" s="88" t="inlineStr">
        <is>
          <t>-</t>
        </is>
      </c>
      <c r="H13" s="88" t="inlineStr">
        <is>
          <t>EAH-10E(UL)</t>
        </is>
      </c>
      <c r="I13" s="88" t="inlineStr">
        <is>
          <t>TL04 ($217)</t>
        </is>
      </c>
      <c r="J13" s="88" t="inlineStr">
        <is>
          <t>—</t>
        </is>
      </c>
      <c r="K13" s="89" t="n">
        <v>4083</v>
      </c>
      <c r="L13" s="89" t="n">
        <v>1593.03</v>
      </c>
      <c r="M13" s="89" t="n">
        <v>169.95</v>
      </c>
      <c r="N13" s="89" t="n">
        <v>2460</v>
      </c>
      <c r="O13" s="89" t="n">
        <v>5845.98</v>
      </c>
      <c r="P13" s="87" t="n">
        <v>20500</v>
      </c>
      <c r="Q13" s="89" t="n">
        <v>248</v>
      </c>
      <c r="R13" s="89" t="n">
        <v>9567</v>
      </c>
    </row>
    <row r="14" ht="14" customHeight="1" s="30">
      <c r="A14" s="85" t="inlineStr">
        <is>
          <t>HPAH-G2</t>
        </is>
      </c>
      <c r="B14" s="85" t="inlineStr">
        <is>
          <t>4T</t>
        </is>
      </c>
      <c r="C14" s="85" t="inlineStr">
        <is>
          <t>MO1BE-H48B-2A</t>
        </is>
      </c>
      <c r="D14" s="85" t="inlineStr">
        <is>
          <t>-</t>
        </is>
      </c>
      <c r="E14" s="85" t="inlineStr">
        <is>
          <t>MAUHE-H48B-2A</t>
        </is>
      </c>
      <c r="F14" s="85" t="inlineStr">
        <is>
          <t>-</t>
        </is>
      </c>
      <c r="G14" s="85" t="inlineStr">
        <is>
          <t>-</t>
        </is>
      </c>
      <c r="H14" s="85" t="inlineStr">
        <is>
          <t>EAH-10E(UL)</t>
        </is>
      </c>
      <c r="I14" s="85" t="inlineStr">
        <is>
          <t>TL04 ($217)</t>
        </is>
      </c>
      <c r="J14" s="85" t="inlineStr">
        <is>
          <t>—</t>
        </is>
      </c>
      <c r="K14" s="86" t="n">
        <v>5385</v>
      </c>
      <c r="L14" s="86" t="n">
        <v>1593.03</v>
      </c>
      <c r="M14" s="86" t="n">
        <v>169.95</v>
      </c>
      <c r="N14" s="86" t="n">
        <v>2760</v>
      </c>
      <c r="O14" s="86" t="n">
        <v>7147.98</v>
      </c>
      <c r="P14" s="87" t="n">
        <v>23000</v>
      </c>
      <c r="Q14" s="86" t="n">
        <v>278</v>
      </c>
      <c r="R14" s="86" t="n">
        <v>10733</v>
      </c>
    </row>
    <row r="15" ht="14" customHeight="1" s="30">
      <c r="A15" s="88" t="inlineStr">
        <is>
          <t>HPAH-G2</t>
        </is>
      </c>
      <c r="B15" s="88" t="inlineStr">
        <is>
          <t>5T</t>
        </is>
      </c>
      <c r="C15" s="88" t="inlineStr">
        <is>
          <t>MO1BE-H60B-2A</t>
        </is>
      </c>
      <c r="D15" s="88" t="inlineStr">
        <is>
          <t>-</t>
        </is>
      </c>
      <c r="E15" s="88" t="inlineStr">
        <is>
          <t>MAUHE-H60B-2A</t>
        </is>
      </c>
      <c r="F15" s="88" t="inlineStr">
        <is>
          <t>-</t>
        </is>
      </c>
      <c r="G15" s="88" t="inlineStr">
        <is>
          <t>-</t>
        </is>
      </c>
      <c r="H15" s="88" t="inlineStr">
        <is>
          <t>EAH-10E(UL)</t>
        </is>
      </c>
      <c r="I15" s="88" t="inlineStr">
        <is>
          <t>TL04 ($217)</t>
        </is>
      </c>
      <c r="J15" s="88" t="inlineStr">
        <is>
          <t>—</t>
        </is>
      </c>
      <c r="K15" s="89" t="n">
        <v>5528</v>
      </c>
      <c r="L15" s="89" t="n">
        <v>1593.03</v>
      </c>
      <c r="M15" s="89" t="n">
        <v>169.95</v>
      </c>
      <c r="N15" s="89" t="n">
        <v>3000</v>
      </c>
      <c r="O15" s="89" t="n">
        <v>7290.98</v>
      </c>
      <c r="P15" s="87" t="n">
        <v>25000</v>
      </c>
      <c r="Q15" s="89" t="n">
        <v>302</v>
      </c>
      <c r="R15" s="89" t="n">
        <v>11667</v>
      </c>
    </row>
    <row r="17" ht="16" customHeight="1" s="30">
      <c r="A17" s="84" t="inlineStr">
        <is>
          <t>AC ONLY (AC) — MO1AE condenser + MAAHE A-coil · Pairs with EXISTING gas furnace (not included) · Permit $169.95 · $250 FLAT spiff · MSRP ★ ESTIMATE · All 2T–5T Active stock</t>
        </is>
      </c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1" t="n"/>
    </row>
    <row r="18" ht="14" customHeight="1" s="30">
      <c r="A18" s="85" t="inlineStr">
        <is>
          <t>AC</t>
        </is>
      </c>
      <c r="B18" s="85" t="inlineStr">
        <is>
          <t>2T</t>
        </is>
      </c>
      <c r="C18" s="85" t="inlineStr">
        <is>
          <t>-</t>
        </is>
      </c>
      <c r="D18" s="85" t="inlineStr">
        <is>
          <t>MO1AE-C24B-2A</t>
        </is>
      </c>
      <c r="E18" s="85" t="inlineStr">
        <is>
          <t>-</t>
        </is>
      </c>
      <c r="F18" s="85" t="inlineStr">
        <is>
          <t>-</t>
        </is>
      </c>
      <c r="G18" s="85" t="inlineStr">
        <is>
          <t>MAAHE-H24B-BA</t>
        </is>
      </c>
      <c r="H18" s="85" t="inlineStr">
        <is>
          <t>-</t>
        </is>
      </c>
      <c r="I18" s="85" t="inlineStr">
        <is>
          <t>-</t>
        </is>
      </c>
      <c r="J18" s="85" t="inlineStr">
        <is>
          <t>—</t>
        </is>
      </c>
      <c r="K18" s="86" t="n">
        <v>1525</v>
      </c>
      <c r="L18" s="86" t="n">
        <v>1593.03</v>
      </c>
      <c r="M18" s="86" t="n">
        <v>169.95</v>
      </c>
      <c r="N18" s="86" t="n">
        <v>250</v>
      </c>
      <c r="O18" s="86" t="n">
        <v>3287.98</v>
      </c>
      <c r="P18" s="87" t="n">
        <v>12500</v>
      </c>
      <c r="Q18" s="86" t="n">
        <v>151</v>
      </c>
      <c r="R18" s="86" t="n">
        <v>5833</v>
      </c>
    </row>
    <row r="19" ht="14" customHeight="1" s="30">
      <c r="A19" s="88" t="inlineStr">
        <is>
          <t>AC</t>
        </is>
      </c>
      <c r="B19" s="88" t="inlineStr">
        <is>
          <t>2.5T</t>
        </is>
      </c>
      <c r="C19" s="88" t="inlineStr">
        <is>
          <t>-</t>
        </is>
      </c>
      <c r="D19" s="88" t="inlineStr">
        <is>
          <t>MO1AE-C30B-2A</t>
        </is>
      </c>
      <c r="E19" s="88" t="inlineStr">
        <is>
          <t>-</t>
        </is>
      </c>
      <c r="F19" s="88" t="inlineStr">
        <is>
          <t>-</t>
        </is>
      </c>
      <c r="G19" s="88" t="inlineStr">
        <is>
          <t>MAAHE-H36B-BA</t>
        </is>
      </c>
      <c r="H19" s="88" t="inlineStr">
        <is>
          <t>-</t>
        </is>
      </c>
      <c r="I19" s="88" t="inlineStr">
        <is>
          <t>-</t>
        </is>
      </c>
      <c r="J19" s="88" t="inlineStr">
        <is>
          <t>—</t>
        </is>
      </c>
      <c r="K19" s="89" t="n">
        <v>1859</v>
      </c>
      <c r="L19" s="89" t="n">
        <v>1593.03</v>
      </c>
      <c r="M19" s="89" t="n">
        <v>169.95</v>
      </c>
      <c r="N19" s="89" t="n">
        <v>250</v>
      </c>
      <c r="O19" s="89" t="n">
        <v>3621.98</v>
      </c>
      <c r="P19" s="87" t="n">
        <v>13500</v>
      </c>
      <c r="Q19" s="89" t="n">
        <v>163</v>
      </c>
      <c r="R19" s="89" t="n">
        <v>6300</v>
      </c>
    </row>
    <row r="20" ht="14" customHeight="1" s="30">
      <c r="A20" s="85" t="inlineStr">
        <is>
          <t>AC</t>
        </is>
      </c>
      <c r="B20" s="85" t="inlineStr">
        <is>
          <t>3T</t>
        </is>
      </c>
      <c r="C20" s="85" t="inlineStr">
        <is>
          <t>-</t>
        </is>
      </c>
      <c r="D20" s="85" t="inlineStr">
        <is>
          <t>MO1AE-C36B-2A</t>
        </is>
      </c>
      <c r="E20" s="85" t="inlineStr">
        <is>
          <t>-</t>
        </is>
      </c>
      <c r="F20" s="85" t="inlineStr">
        <is>
          <t>-</t>
        </is>
      </c>
      <c r="G20" s="85" t="inlineStr">
        <is>
          <t>MAAHE-H36B-BA</t>
        </is>
      </c>
      <c r="H20" s="85" t="inlineStr">
        <is>
          <t>-</t>
        </is>
      </c>
      <c r="I20" s="85" t="inlineStr">
        <is>
          <t>-</t>
        </is>
      </c>
      <c r="J20" s="85" t="inlineStr">
        <is>
          <t>—</t>
        </is>
      </c>
      <c r="K20" s="86" t="n">
        <v>2086</v>
      </c>
      <c r="L20" s="86" t="n">
        <v>1593.03</v>
      </c>
      <c r="M20" s="86" t="n">
        <v>169.95</v>
      </c>
      <c r="N20" s="86" t="n">
        <v>250</v>
      </c>
      <c r="O20" s="86" t="n">
        <v>3848.98</v>
      </c>
      <c r="P20" s="87" t="n">
        <v>14500</v>
      </c>
      <c r="Q20" s="86" t="n">
        <v>175</v>
      </c>
      <c r="R20" s="86" t="n">
        <v>6767</v>
      </c>
    </row>
    <row r="21" ht="14" customHeight="1" s="30">
      <c r="A21" s="88" t="inlineStr">
        <is>
          <t>AC</t>
        </is>
      </c>
      <c r="B21" s="88" t="inlineStr">
        <is>
          <t>4T</t>
        </is>
      </c>
      <c r="C21" s="88" t="inlineStr">
        <is>
          <t>-</t>
        </is>
      </c>
      <c r="D21" s="88" t="inlineStr">
        <is>
          <t>MO1AE-C48B-2A</t>
        </is>
      </c>
      <c r="E21" s="88" t="inlineStr">
        <is>
          <t>-</t>
        </is>
      </c>
      <c r="F21" s="88" t="inlineStr">
        <is>
          <t>-</t>
        </is>
      </c>
      <c r="G21" s="88" t="inlineStr">
        <is>
          <t>MAAHE-H60B-CA</t>
        </is>
      </c>
      <c r="H21" s="88" t="inlineStr">
        <is>
          <t>-</t>
        </is>
      </c>
      <c r="I21" s="88" t="inlineStr">
        <is>
          <t>-</t>
        </is>
      </c>
      <c r="J21" s="88" t="inlineStr">
        <is>
          <t>—</t>
        </is>
      </c>
      <c r="K21" s="89" t="n">
        <v>2936</v>
      </c>
      <c r="L21" s="89" t="n">
        <v>1593.03</v>
      </c>
      <c r="M21" s="89" t="n">
        <v>169.95</v>
      </c>
      <c r="N21" s="89" t="n">
        <v>250</v>
      </c>
      <c r="O21" s="89" t="n">
        <v>4698.98</v>
      </c>
      <c r="P21" s="87" t="n">
        <v>16000</v>
      </c>
      <c r="Q21" s="89" t="n">
        <v>193</v>
      </c>
      <c r="R21" s="89" t="n">
        <v>7467</v>
      </c>
    </row>
    <row r="22" ht="14" customHeight="1" s="30">
      <c r="A22" s="85" t="inlineStr">
        <is>
          <t>AC</t>
        </is>
      </c>
      <c r="B22" s="85" t="inlineStr">
        <is>
          <t>5T</t>
        </is>
      </c>
      <c r="C22" s="85" t="inlineStr">
        <is>
          <t>-</t>
        </is>
      </c>
      <c r="D22" s="85" t="inlineStr">
        <is>
          <t>MO1AE-C60B-2A</t>
        </is>
      </c>
      <c r="E22" s="85" t="inlineStr">
        <is>
          <t>-</t>
        </is>
      </c>
      <c r="F22" s="85" t="inlineStr">
        <is>
          <t>-</t>
        </is>
      </c>
      <c r="G22" s="85" t="inlineStr">
        <is>
          <t>MAAHE-H60B-DA</t>
        </is>
      </c>
      <c r="H22" s="85" t="inlineStr">
        <is>
          <t>-</t>
        </is>
      </c>
      <c r="I22" s="85" t="inlineStr">
        <is>
          <t>-</t>
        </is>
      </c>
      <c r="J22" s="85" t="inlineStr">
        <is>
          <t>—</t>
        </is>
      </c>
      <c r="K22" s="86" t="n">
        <v>2974</v>
      </c>
      <c r="L22" s="86" t="n">
        <v>1593.03</v>
      </c>
      <c r="M22" s="86" t="n">
        <v>169.95</v>
      </c>
      <c r="N22" s="86" t="n">
        <v>250</v>
      </c>
      <c r="O22" s="86" t="n">
        <v>4736.98</v>
      </c>
      <c r="P22" s="87" t="n">
        <v>16500</v>
      </c>
      <c r="Q22" s="86" t="n">
        <v>200</v>
      </c>
      <c r="R22" s="86" t="n">
        <v>7700</v>
      </c>
    </row>
  </sheetData>
  <mergeCells count="5">
    <mergeCell ref="A2:R2"/>
    <mergeCell ref="A11:R11"/>
    <mergeCell ref="A1:R1"/>
    <mergeCell ref="A17:R17"/>
    <mergeCell ref="A4:R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30" min="1" max="1"/>
    <col width="9" customWidth="1" style="30" min="2" max="2"/>
    <col width="16" customWidth="1" style="30" min="3" max="3"/>
    <col width="16" customWidth="1" style="30" min="4" max="4"/>
    <col width="16" customWidth="1" style="30" min="5" max="5"/>
    <col width="14" customWidth="1" style="30" min="6" max="6"/>
    <col width="14" customWidth="1" style="30" min="7" max="7"/>
    <col width="14" customWidth="1" style="30" min="8" max="8"/>
    <col width="15" customWidth="1" style="30" min="9" max="9"/>
    <col width="10" customWidth="1" style="30" min="10" max="10"/>
    <col width="11" customWidth="1" style="30" min="11" max="11"/>
    <col width="11" customWidth="1" style="30" min="12" max="12"/>
    <col width="8" customWidth="1" style="30" min="13" max="13"/>
    <col width="10" customWidth="1" style="30" min="14" max="14"/>
    <col width="13" customWidth="1" style="30" min="15" max="15"/>
    <col width="11" customWidth="1" style="30" min="16" max="16"/>
    <col width="9" customWidth="1" style="30" min="17" max="17"/>
    <col width="12" customWidth="1" style="30" min="18" max="18"/>
  </cols>
  <sheetData>
    <row r="1" ht="18" customHeight="1" s="30">
      <c r="A1" s="82" t="inlineStr">
        <is>
          <t>CM Heating Acct #22660 · Mitsubishi M-Series Ductless &amp; Ducted · Gensco · Price sheet 5/21/2026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1" t="n"/>
    </row>
    <row r="2" ht="14" customHeight="1" s="30">
      <c r="A2" s="83" t="inlineStr">
        <is>
          <t>Payment ratio: 1.2093%/mo · Residual = MSRP×(180−N)/180 · ★ YELLOW MSRP = ESTIMATED — confirm with CaaS contract ★ · Wall HP: labor est. $1,100 / permit $100 · SVZ ducted: labor $1,593 / permit $169.95 · WX=budget · HX=mid · GX=standard · GX-HH=HyperHeat · FX-HH+=HyperHeat Plus (base pan heaters incl.)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1" t="n"/>
    </row>
    <row r="3" ht="24" customHeight="1" s="30">
      <c r="A3" s="73" t="inlineStr">
        <is>
          <t>Job Type</t>
        </is>
      </c>
      <c r="B3" s="73" t="inlineStr">
        <is>
          <t>Size</t>
        </is>
      </c>
      <c r="C3" s="73" t="inlineStr">
        <is>
          <t>HP Model</t>
        </is>
      </c>
      <c r="D3" s="73" t="inlineStr">
        <is>
          <t>AC Model</t>
        </is>
      </c>
      <c r="E3" s="73" t="inlineStr">
        <is>
          <t>AH Model</t>
        </is>
      </c>
      <c r="F3" s="73" t="inlineStr">
        <is>
          <t>Furn Model</t>
        </is>
      </c>
      <c r="G3" s="73" t="inlineStr">
        <is>
          <t>Coil Model</t>
        </is>
      </c>
      <c r="H3" s="73" t="inlineStr">
        <is>
          <t>HS Model</t>
        </is>
      </c>
      <c r="I3" s="73" t="inlineStr">
        <is>
          <t>Thermo</t>
        </is>
      </c>
      <c r="J3" s="73" t="inlineStr">
        <is>
          <t>IAQ</t>
        </is>
      </c>
      <c r="K3" s="73" t="inlineStr">
        <is>
          <t>Equip Cost</t>
        </is>
      </c>
      <c r="L3" s="73" t="inlineStr">
        <is>
          <t>Labor</t>
        </is>
      </c>
      <c r="M3" s="73" t="inlineStr">
        <is>
          <t>Permit</t>
        </is>
      </c>
      <c r="N3" s="73" t="inlineStr">
        <is>
          <t>Spiff</t>
        </is>
      </c>
      <c r="O3" s="73" t="inlineStr">
        <is>
          <t>Total Job Cost</t>
        </is>
      </c>
      <c r="P3" s="73" t="inlineStr">
        <is>
          <t>MSRP</t>
        </is>
      </c>
      <c r="Q3" s="73" t="inlineStr">
        <is>
          <t>CaaS/mo</t>
        </is>
      </c>
      <c r="R3" s="73" t="inlineStr">
        <is>
          <t>Resid @ mo96</t>
        </is>
      </c>
    </row>
    <row r="4" ht="16" customHeight="1" s="30">
      <c r="A4" s="84" t="inlineStr">
        <is>
          <t>WALL HEAT PUMP — WX Budget (MUZWX outdoor + MSZWX indoor) · $100 permit · 12% spiff · MSRP ★ ESTIMATE · 12k/18k Active; 9k/24k NB</t>
        </is>
      </c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</row>
    <row r="5" ht="14" customHeight="1" s="30">
      <c r="A5" s="85" t="inlineStr">
        <is>
          <t>WALL-HP</t>
        </is>
      </c>
      <c r="B5" s="85" t="inlineStr">
        <is>
          <t>12k</t>
        </is>
      </c>
      <c r="C5" s="85" t="inlineStr">
        <is>
          <t>MUZWX12NL</t>
        </is>
      </c>
      <c r="D5" s="85" t="inlineStr">
        <is>
          <t>-</t>
        </is>
      </c>
      <c r="E5" s="85" t="inlineStr">
        <is>
          <t>MSZWX12NL</t>
        </is>
      </c>
      <c r="F5" s="85" t="inlineStr">
        <is>
          <t>-</t>
        </is>
      </c>
      <c r="G5" s="85" t="inlineStr">
        <is>
          <t>-</t>
        </is>
      </c>
      <c r="H5" s="85" t="inlineStr">
        <is>
          <t>-</t>
        </is>
      </c>
      <c r="I5" s="85" t="inlineStr">
        <is>
          <t>Remote (incl.)</t>
        </is>
      </c>
      <c r="J5" s="85" t="inlineStr">
        <is>
          <t>—</t>
        </is>
      </c>
      <c r="K5" s="86" t="n">
        <v>1083</v>
      </c>
      <c r="L5" s="86" t="n">
        <v>1100</v>
      </c>
      <c r="M5" s="86" t="n">
        <v>100</v>
      </c>
      <c r="N5" s="86" t="n">
        <v>720</v>
      </c>
      <c r="O5" s="86" t="n">
        <v>2283</v>
      </c>
      <c r="P5" s="87" t="n">
        <v>6000</v>
      </c>
      <c r="Q5" s="86" t="n">
        <v>73</v>
      </c>
      <c r="R5" s="86" t="n">
        <v>2800</v>
      </c>
    </row>
    <row r="6" ht="14" customHeight="1" s="30">
      <c r="A6" s="88" t="inlineStr">
        <is>
          <t>WALL-HP</t>
        </is>
      </c>
      <c r="B6" s="88" t="inlineStr">
        <is>
          <t>18k</t>
        </is>
      </c>
      <c r="C6" s="88" t="inlineStr">
        <is>
          <t>MUZWX18NL</t>
        </is>
      </c>
      <c r="D6" s="88" t="inlineStr">
        <is>
          <t>-</t>
        </is>
      </c>
      <c r="E6" s="88" t="inlineStr">
        <is>
          <t>MSZWX18NL</t>
        </is>
      </c>
      <c r="F6" s="88" t="inlineStr">
        <is>
          <t>-</t>
        </is>
      </c>
      <c r="G6" s="88" t="inlineStr">
        <is>
          <t>-</t>
        </is>
      </c>
      <c r="H6" s="88" t="inlineStr">
        <is>
          <t>-</t>
        </is>
      </c>
      <c r="I6" s="88" t="inlineStr">
        <is>
          <t>Remote (incl.)</t>
        </is>
      </c>
      <c r="J6" s="88" t="inlineStr">
        <is>
          <t>—</t>
        </is>
      </c>
      <c r="K6" s="89" t="n">
        <v>1551</v>
      </c>
      <c r="L6" s="89" t="n">
        <v>1100</v>
      </c>
      <c r="M6" s="89" t="n">
        <v>100</v>
      </c>
      <c r="N6" s="89" t="n">
        <v>900</v>
      </c>
      <c r="O6" s="89" t="n">
        <v>2751</v>
      </c>
      <c r="P6" s="87" t="n">
        <v>7500</v>
      </c>
      <c r="Q6" s="89" t="n">
        <v>91</v>
      </c>
      <c r="R6" s="89" t="n">
        <v>3500</v>
      </c>
    </row>
    <row r="8" ht="16" customHeight="1" s="30">
      <c r="A8" s="84" t="inlineStr">
        <is>
          <t>WALL HEAT PUMP — HX Mid (MUZHX outdoor + MSZHX indoor) · $100 permit · 12% spiff · MSRP ★ ESTIMATE · All Active stock</t>
        </is>
      </c>
      <c r="B8" s="80" t="n"/>
      <c r="C8" s="80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1" t="n"/>
    </row>
    <row r="9" ht="14" customHeight="1" s="30">
      <c r="A9" s="85" t="inlineStr">
        <is>
          <t>WALL-HP</t>
        </is>
      </c>
      <c r="B9" s="85" t="inlineStr">
        <is>
          <t>12k</t>
        </is>
      </c>
      <c r="C9" s="85" t="inlineStr">
        <is>
          <t>MUZHX12NL</t>
        </is>
      </c>
      <c r="D9" s="85" t="inlineStr">
        <is>
          <t>-</t>
        </is>
      </c>
      <c r="E9" s="85" t="inlineStr">
        <is>
          <t>MSZHX12NL</t>
        </is>
      </c>
      <c r="F9" s="85" t="inlineStr">
        <is>
          <t>-</t>
        </is>
      </c>
      <c r="G9" s="85" t="inlineStr">
        <is>
          <t>-</t>
        </is>
      </c>
      <c r="H9" s="85" t="inlineStr">
        <is>
          <t>-</t>
        </is>
      </c>
      <c r="I9" s="85" t="inlineStr">
        <is>
          <t>Remote (incl.)</t>
        </is>
      </c>
      <c r="J9" s="85" t="inlineStr">
        <is>
          <t>—</t>
        </is>
      </c>
      <c r="K9" s="86" t="n">
        <v>1226</v>
      </c>
      <c r="L9" s="86" t="n">
        <v>1100</v>
      </c>
      <c r="M9" s="86" t="n">
        <v>100</v>
      </c>
      <c r="N9" s="86" t="n">
        <v>780</v>
      </c>
      <c r="O9" s="86" t="n">
        <v>2426</v>
      </c>
      <c r="P9" s="87" t="n">
        <v>6500</v>
      </c>
      <c r="Q9" s="86" t="n">
        <v>79</v>
      </c>
      <c r="R9" s="86" t="n">
        <v>3033</v>
      </c>
    </row>
    <row r="10" ht="14" customHeight="1" s="30">
      <c r="A10" s="88" t="inlineStr">
        <is>
          <t>WALL-HP</t>
        </is>
      </c>
      <c r="B10" s="88" t="inlineStr">
        <is>
          <t>18k</t>
        </is>
      </c>
      <c r="C10" s="88" t="inlineStr">
        <is>
          <t>MUZHX18NL</t>
        </is>
      </c>
      <c r="D10" s="88" t="inlineStr">
        <is>
          <t>-</t>
        </is>
      </c>
      <c r="E10" s="88" t="inlineStr">
        <is>
          <t>MSZHX18NL</t>
        </is>
      </c>
      <c r="F10" s="88" t="inlineStr">
        <is>
          <t>-</t>
        </is>
      </c>
      <c r="G10" s="88" t="inlineStr">
        <is>
          <t>-</t>
        </is>
      </c>
      <c r="H10" s="88" t="inlineStr">
        <is>
          <t>-</t>
        </is>
      </c>
      <c r="I10" s="88" t="inlineStr">
        <is>
          <t>Remote (incl.)</t>
        </is>
      </c>
      <c r="J10" s="88" t="inlineStr">
        <is>
          <t>—</t>
        </is>
      </c>
      <c r="K10" s="89" t="n">
        <v>1712</v>
      </c>
      <c r="L10" s="89" t="n">
        <v>1100</v>
      </c>
      <c r="M10" s="89" t="n">
        <v>100</v>
      </c>
      <c r="N10" s="89" t="n">
        <v>1020</v>
      </c>
      <c r="O10" s="89" t="n">
        <v>2912</v>
      </c>
      <c r="P10" s="87" t="n">
        <v>8500</v>
      </c>
      <c r="Q10" s="89" t="n">
        <v>103</v>
      </c>
      <c r="R10" s="89" t="n">
        <v>3967</v>
      </c>
    </row>
    <row r="11" ht="14" customHeight="1" s="30">
      <c r="A11" s="85" t="inlineStr">
        <is>
          <t>WALL-HP</t>
        </is>
      </c>
      <c r="B11" s="85" t="inlineStr">
        <is>
          <t>24k</t>
        </is>
      </c>
      <c r="C11" s="85" t="inlineStr">
        <is>
          <t>MUZHX24NL</t>
        </is>
      </c>
      <c r="D11" s="85" t="inlineStr">
        <is>
          <t>-</t>
        </is>
      </c>
      <c r="E11" s="85" t="inlineStr">
        <is>
          <t>MSZHX24NL</t>
        </is>
      </c>
      <c r="F11" s="85" t="inlineStr">
        <is>
          <t>-</t>
        </is>
      </c>
      <c r="G11" s="85" t="inlineStr">
        <is>
          <t>-</t>
        </is>
      </c>
      <c r="H11" s="85" t="inlineStr">
        <is>
          <t>-</t>
        </is>
      </c>
      <c r="I11" s="85" t="inlineStr">
        <is>
          <t>Remote (incl.)</t>
        </is>
      </c>
      <c r="J11" s="85" t="inlineStr">
        <is>
          <t>—</t>
        </is>
      </c>
      <c r="K11" s="86" t="n">
        <v>1884</v>
      </c>
      <c r="L11" s="86" t="n">
        <v>1100</v>
      </c>
      <c r="M11" s="86" t="n">
        <v>100</v>
      </c>
      <c r="N11" s="86" t="n">
        <v>1200</v>
      </c>
      <c r="O11" s="86" t="n">
        <v>3084</v>
      </c>
      <c r="P11" s="87" t="n">
        <v>10000</v>
      </c>
      <c r="Q11" s="86" t="n">
        <v>121</v>
      </c>
      <c r="R11" s="86" t="n">
        <v>4667</v>
      </c>
    </row>
    <row r="13" ht="16" customHeight="1" s="30">
      <c r="A13" s="84" t="inlineStr">
        <is>
          <t>WALL HEAT PUMP — GX Standard (MUZGX outdoor + MSZGX indoor) · $100 permit · 12% spiff · MSRP ★ ESTIMATE · 9k–24k All Active</t>
        </is>
      </c>
      <c r="B13" s="80" t="n"/>
      <c r="C13" s="80" t="n"/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1" t="n"/>
    </row>
    <row r="14" ht="14" customHeight="1" s="30">
      <c r="A14" s="85" t="inlineStr">
        <is>
          <t>WALL-HP</t>
        </is>
      </c>
      <c r="B14" s="85" t="inlineStr">
        <is>
          <t>9k</t>
        </is>
      </c>
      <c r="C14" s="85" t="inlineStr">
        <is>
          <t>MUZGX09NL</t>
        </is>
      </c>
      <c r="D14" s="85" t="inlineStr">
        <is>
          <t>-</t>
        </is>
      </c>
      <c r="E14" s="85" t="inlineStr">
        <is>
          <t>MSZGX09NL</t>
        </is>
      </c>
      <c r="F14" s="85" t="inlineStr">
        <is>
          <t>-</t>
        </is>
      </c>
      <c r="G14" s="85" t="inlineStr">
        <is>
          <t>-</t>
        </is>
      </c>
      <c r="H14" s="85" t="inlineStr">
        <is>
          <t>-</t>
        </is>
      </c>
      <c r="I14" s="85" t="inlineStr">
        <is>
          <t>Remote (incl.)</t>
        </is>
      </c>
      <c r="J14" s="85" t="inlineStr">
        <is>
          <t>—</t>
        </is>
      </c>
      <c r="K14" s="86" t="n">
        <v>1758</v>
      </c>
      <c r="L14" s="86" t="n">
        <v>1100</v>
      </c>
      <c r="M14" s="86" t="n">
        <v>100</v>
      </c>
      <c r="N14" s="86" t="n">
        <v>840</v>
      </c>
      <c r="O14" s="86" t="n">
        <v>2958</v>
      </c>
      <c r="P14" s="87" t="n">
        <v>7000</v>
      </c>
      <c r="Q14" s="86" t="n">
        <v>85</v>
      </c>
      <c r="R14" s="86" t="n">
        <v>3267</v>
      </c>
    </row>
    <row r="15" ht="14" customHeight="1" s="30">
      <c r="A15" s="88" t="inlineStr">
        <is>
          <t>WALL-HP</t>
        </is>
      </c>
      <c r="B15" s="88" t="inlineStr">
        <is>
          <t>12k</t>
        </is>
      </c>
      <c r="C15" s="88" t="inlineStr">
        <is>
          <t>MUZGX12NL</t>
        </is>
      </c>
      <c r="D15" s="88" t="inlineStr">
        <is>
          <t>-</t>
        </is>
      </c>
      <c r="E15" s="88" t="inlineStr">
        <is>
          <t>MSZGX12NL</t>
        </is>
      </c>
      <c r="F15" s="88" t="inlineStr">
        <is>
          <t>-</t>
        </is>
      </c>
      <c r="G15" s="88" t="inlineStr">
        <is>
          <t>-</t>
        </is>
      </c>
      <c r="H15" s="88" t="inlineStr">
        <is>
          <t>-</t>
        </is>
      </c>
      <c r="I15" s="88" t="inlineStr">
        <is>
          <t>Remote (incl.)</t>
        </is>
      </c>
      <c r="J15" s="88" t="inlineStr">
        <is>
          <t>—</t>
        </is>
      </c>
      <c r="K15" s="89" t="n">
        <v>1959</v>
      </c>
      <c r="L15" s="89" t="n">
        <v>1100</v>
      </c>
      <c r="M15" s="89" t="n">
        <v>100</v>
      </c>
      <c r="N15" s="89" t="n">
        <v>960</v>
      </c>
      <c r="O15" s="89" t="n">
        <v>3159</v>
      </c>
      <c r="P15" s="87" t="n">
        <v>8000</v>
      </c>
      <c r="Q15" s="89" t="n">
        <v>97</v>
      </c>
      <c r="R15" s="89" t="n">
        <v>3733</v>
      </c>
    </row>
    <row r="16" ht="14" customHeight="1" s="30">
      <c r="A16" s="85" t="inlineStr">
        <is>
          <t>WALL-HP</t>
        </is>
      </c>
      <c r="B16" s="85" t="inlineStr">
        <is>
          <t>18k</t>
        </is>
      </c>
      <c r="C16" s="85" t="inlineStr">
        <is>
          <t>MUZGX18NL</t>
        </is>
      </c>
      <c r="D16" s="85" t="inlineStr">
        <is>
          <t>-</t>
        </is>
      </c>
      <c r="E16" s="85" t="inlineStr">
        <is>
          <t>MSZGX18NL</t>
        </is>
      </c>
      <c r="F16" s="85" t="inlineStr">
        <is>
          <t>-</t>
        </is>
      </c>
      <c r="G16" s="85" t="inlineStr">
        <is>
          <t>-</t>
        </is>
      </c>
      <c r="H16" s="85" t="inlineStr">
        <is>
          <t>-</t>
        </is>
      </c>
      <c r="I16" s="85" t="inlineStr">
        <is>
          <t>Remote (incl.)</t>
        </is>
      </c>
      <c r="J16" s="85" t="inlineStr">
        <is>
          <t>—</t>
        </is>
      </c>
      <c r="K16" s="86" t="n">
        <v>2846</v>
      </c>
      <c r="L16" s="86" t="n">
        <v>1100</v>
      </c>
      <c r="M16" s="86" t="n">
        <v>100</v>
      </c>
      <c r="N16" s="86" t="n">
        <v>1320</v>
      </c>
      <c r="O16" s="86" t="n">
        <v>4046</v>
      </c>
      <c r="P16" s="87" t="n">
        <v>11000</v>
      </c>
      <c r="Q16" s="86" t="n">
        <v>133</v>
      </c>
      <c r="R16" s="86" t="n">
        <v>5133</v>
      </c>
    </row>
    <row r="17" ht="14" customHeight="1" s="30">
      <c r="A17" s="88" t="inlineStr">
        <is>
          <t>WALL-HP</t>
        </is>
      </c>
      <c r="B17" s="88" t="inlineStr">
        <is>
          <t>24k</t>
        </is>
      </c>
      <c r="C17" s="88" t="inlineStr">
        <is>
          <t>MUZGX24NL</t>
        </is>
      </c>
      <c r="D17" s="88" t="inlineStr">
        <is>
          <t>-</t>
        </is>
      </c>
      <c r="E17" s="88" t="inlineStr">
        <is>
          <t>MSZGX24NL</t>
        </is>
      </c>
      <c r="F17" s="88" t="inlineStr">
        <is>
          <t>-</t>
        </is>
      </c>
      <c r="G17" s="88" t="inlineStr">
        <is>
          <t>-</t>
        </is>
      </c>
      <c r="H17" s="88" t="inlineStr">
        <is>
          <t>-</t>
        </is>
      </c>
      <c r="I17" s="88" t="inlineStr">
        <is>
          <t>Remote (incl.)</t>
        </is>
      </c>
      <c r="J17" s="88" t="inlineStr">
        <is>
          <t>—</t>
        </is>
      </c>
      <c r="K17" s="89" t="n">
        <v>3187</v>
      </c>
      <c r="L17" s="89" t="n">
        <v>1100</v>
      </c>
      <c r="M17" s="89" t="n">
        <v>100</v>
      </c>
      <c r="N17" s="89" t="n">
        <v>1620</v>
      </c>
      <c r="O17" s="89" t="n">
        <v>4387</v>
      </c>
      <c r="P17" s="87" t="n">
        <v>13500</v>
      </c>
      <c r="Q17" s="89" t="n">
        <v>163</v>
      </c>
      <c r="R17" s="89" t="n">
        <v>6300</v>
      </c>
    </row>
    <row r="19" ht="16" customHeight="1" s="30">
      <c r="A19" s="84" t="inlineStr">
        <is>
          <t>WALL HEAT PUMP HYPER HEAT — GX-HH (MUZGXNLHZ outdoor + MSZGX indoor) · $100 permit · 12% spiff · MSRP ★ ESTIMATE · 9k–24k All Active</t>
        </is>
      </c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</row>
    <row r="20" ht="14" customHeight="1" s="30">
      <c r="A20" s="85" t="inlineStr">
        <is>
          <t>WALL-HP-HH</t>
        </is>
      </c>
      <c r="B20" s="85" t="inlineStr">
        <is>
          <t>9k</t>
        </is>
      </c>
      <c r="C20" s="85" t="inlineStr">
        <is>
          <t>MUZGX09NLHZ</t>
        </is>
      </c>
      <c r="D20" s="85" t="inlineStr">
        <is>
          <t>-</t>
        </is>
      </c>
      <c r="E20" s="85" t="inlineStr">
        <is>
          <t>MSZGX09NL</t>
        </is>
      </c>
      <c r="F20" s="85" t="inlineStr">
        <is>
          <t>-</t>
        </is>
      </c>
      <c r="G20" s="85" t="inlineStr">
        <is>
          <t>-</t>
        </is>
      </c>
      <c r="H20" s="85" t="inlineStr">
        <is>
          <t>-</t>
        </is>
      </c>
      <c r="I20" s="85" t="inlineStr">
        <is>
          <t>Remote (incl.)</t>
        </is>
      </c>
      <c r="J20" s="85" t="inlineStr">
        <is>
          <t>—</t>
        </is>
      </c>
      <c r="K20" s="86" t="n">
        <v>1936</v>
      </c>
      <c r="L20" s="86" t="n">
        <v>1100</v>
      </c>
      <c r="M20" s="86" t="n">
        <v>100</v>
      </c>
      <c r="N20" s="86" t="n">
        <v>1020</v>
      </c>
      <c r="O20" s="86" t="n">
        <v>3136</v>
      </c>
      <c r="P20" s="87" t="n">
        <v>8500</v>
      </c>
      <c r="Q20" s="86" t="n">
        <v>103</v>
      </c>
      <c r="R20" s="86" t="n">
        <v>3967</v>
      </c>
    </row>
    <row r="21" ht="14" customHeight="1" s="30">
      <c r="A21" s="88" t="inlineStr">
        <is>
          <t>WALL-HP-HH</t>
        </is>
      </c>
      <c r="B21" s="88" t="inlineStr">
        <is>
          <t>12k</t>
        </is>
      </c>
      <c r="C21" s="88" t="inlineStr">
        <is>
          <t>MUZGX12NLHZ</t>
        </is>
      </c>
      <c r="D21" s="88" t="inlineStr">
        <is>
          <t>-</t>
        </is>
      </c>
      <c r="E21" s="88" t="inlineStr">
        <is>
          <t>MSZGX12NL</t>
        </is>
      </c>
      <c r="F21" s="88" t="inlineStr">
        <is>
          <t>-</t>
        </is>
      </c>
      <c r="G21" s="88" t="inlineStr">
        <is>
          <t>-</t>
        </is>
      </c>
      <c r="H21" s="88" t="inlineStr">
        <is>
          <t>-</t>
        </is>
      </c>
      <c r="I21" s="88" t="inlineStr">
        <is>
          <t>Remote (incl.)</t>
        </is>
      </c>
      <c r="J21" s="88" t="inlineStr">
        <is>
          <t>—</t>
        </is>
      </c>
      <c r="K21" s="89" t="n">
        <v>2179</v>
      </c>
      <c r="L21" s="89" t="n">
        <v>1100</v>
      </c>
      <c r="M21" s="89" t="n">
        <v>100</v>
      </c>
      <c r="N21" s="89" t="n">
        <v>1140</v>
      </c>
      <c r="O21" s="89" t="n">
        <v>3379</v>
      </c>
      <c r="P21" s="87" t="n">
        <v>9500</v>
      </c>
      <c r="Q21" s="89" t="n">
        <v>115</v>
      </c>
      <c r="R21" s="89" t="n">
        <v>4433</v>
      </c>
    </row>
    <row r="22" ht="14" customHeight="1" s="30">
      <c r="A22" s="85" t="inlineStr">
        <is>
          <t>WALL-HP-HH</t>
        </is>
      </c>
      <c r="B22" s="85" t="inlineStr">
        <is>
          <t>18k</t>
        </is>
      </c>
      <c r="C22" s="85" t="inlineStr">
        <is>
          <t>MUZGX18NLHZ</t>
        </is>
      </c>
      <c r="D22" s="85" t="inlineStr">
        <is>
          <t>-</t>
        </is>
      </c>
      <c r="E22" s="85" t="inlineStr">
        <is>
          <t>MSZGX18NL</t>
        </is>
      </c>
      <c r="F22" s="85" t="inlineStr">
        <is>
          <t>-</t>
        </is>
      </c>
      <c r="G22" s="85" t="inlineStr">
        <is>
          <t>-</t>
        </is>
      </c>
      <c r="H22" s="85" t="inlineStr">
        <is>
          <t>-</t>
        </is>
      </c>
      <c r="I22" s="85" t="inlineStr">
        <is>
          <t>Remote (incl.)</t>
        </is>
      </c>
      <c r="J22" s="85" t="inlineStr">
        <is>
          <t>—</t>
        </is>
      </c>
      <c r="K22" s="86" t="n">
        <v>2984</v>
      </c>
      <c r="L22" s="86" t="n">
        <v>1100</v>
      </c>
      <c r="M22" s="86" t="n">
        <v>100</v>
      </c>
      <c r="N22" s="86" t="n">
        <v>1500</v>
      </c>
      <c r="O22" s="86" t="n">
        <v>4184</v>
      </c>
      <c r="P22" s="87" t="n">
        <v>12500</v>
      </c>
      <c r="Q22" s="86" t="n">
        <v>151</v>
      </c>
      <c r="R22" s="86" t="n">
        <v>5833</v>
      </c>
    </row>
    <row r="23" ht="14" customHeight="1" s="30">
      <c r="A23" s="88" t="inlineStr">
        <is>
          <t>WALL-HP-HH</t>
        </is>
      </c>
      <c r="B23" s="88" t="inlineStr">
        <is>
          <t>24k</t>
        </is>
      </c>
      <c r="C23" s="88" t="inlineStr">
        <is>
          <t>MUZGX24NLHZ</t>
        </is>
      </c>
      <c r="D23" s="88" t="inlineStr">
        <is>
          <t>-</t>
        </is>
      </c>
      <c r="E23" s="88" t="inlineStr">
        <is>
          <t>MSZGX24NL</t>
        </is>
      </c>
      <c r="F23" s="88" t="inlineStr">
        <is>
          <t>-</t>
        </is>
      </c>
      <c r="G23" s="88" t="inlineStr">
        <is>
          <t>-</t>
        </is>
      </c>
      <c r="H23" s="88" t="inlineStr">
        <is>
          <t>-</t>
        </is>
      </c>
      <c r="I23" s="88" t="inlineStr">
        <is>
          <t>Remote (incl.)</t>
        </is>
      </c>
      <c r="J23" s="88" t="inlineStr">
        <is>
          <t>—</t>
        </is>
      </c>
      <c r="K23" s="89" t="n">
        <v>3572</v>
      </c>
      <c r="L23" s="89" t="n">
        <v>1100</v>
      </c>
      <c r="M23" s="89" t="n">
        <v>100</v>
      </c>
      <c r="N23" s="89" t="n">
        <v>1800</v>
      </c>
      <c r="O23" s="89" t="n">
        <v>4772</v>
      </c>
      <c r="P23" s="87" t="n">
        <v>15000</v>
      </c>
      <c r="Q23" s="89" t="n">
        <v>181</v>
      </c>
      <c r="R23" s="89" t="n">
        <v>7000</v>
      </c>
    </row>
    <row r="25" ht="16" customHeight="1" s="30">
      <c r="A25" s="84" t="inlineStr">
        <is>
          <t>WALL HEAT PUMP HYPER HEAT PLUS — FX-HH+ (MUZFXNLHZ + MSZFX · base pan heaters included) · $100 permit · 12% spiff · MSRP ★ ESTIMATE · 6k–24k All Active</t>
        </is>
      </c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</row>
    <row r="26" ht="14" customHeight="1" s="30">
      <c r="A26" s="85" t="inlineStr">
        <is>
          <t>WALL-HP-HH+</t>
        </is>
      </c>
      <c r="B26" s="85" t="inlineStr">
        <is>
          <t>9k</t>
        </is>
      </c>
      <c r="C26" s="85" t="inlineStr">
        <is>
          <t>MUZFX09NLHZ</t>
        </is>
      </c>
      <c r="D26" s="85" t="inlineStr">
        <is>
          <t>-</t>
        </is>
      </c>
      <c r="E26" s="85" t="inlineStr">
        <is>
          <t>MSZFX09NL</t>
        </is>
      </c>
      <c r="F26" s="85" t="inlineStr">
        <is>
          <t>-</t>
        </is>
      </c>
      <c r="G26" s="85" t="inlineStr">
        <is>
          <t>-</t>
        </is>
      </c>
      <c r="H26" s="85" t="inlineStr">
        <is>
          <t>-</t>
        </is>
      </c>
      <c r="I26" s="85" t="inlineStr">
        <is>
          <t>Remote (incl.)</t>
        </is>
      </c>
      <c r="J26" s="85" t="inlineStr">
        <is>
          <t>—</t>
        </is>
      </c>
      <c r="K26" s="86" t="n">
        <v>2271</v>
      </c>
      <c r="L26" s="86" t="n">
        <v>1100</v>
      </c>
      <c r="M26" s="86" t="n">
        <v>100</v>
      </c>
      <c r="N26" s="86" t="n">
        <v>1080</v>
      </c>
      <c r="O26" s="86" t="n">
        <v>3471</v>
      </c>
      <c r="P26" s="87" t="n">
        <v>9000</v>
      </c>
      <c r="Q26" s="86" t="n">
        <v>109</v>
      </c>
      <c r="R26" s="86" t="n">
        <v>4200</v>
      </c>
    </row>
    <row r="27" ht="14" customHeight="1" s="30">
      <c r="A27" s="88" t="inlineStr">
        <is>
          <t>WALL-HP-HH+</t>
        </is>
      </c>
      <c r="B27" s="88" t="inlineStr">
        <is>
          <t>12k</t>
        </is>
      </c>
      <c r="C27" s="88" t="inlineStr">
        <is>
          <t>MUZFX12NLHZ</t>
        </is>
      </c>
      <c r="D27" s="88" t="inlineStr">
        <is>
          <t>-</t>
        </is>
      </c>
      <c r="E27" s="88" t="inlineStr">
        <is>
          <t>MSZFX12NL</t>
        </is>
      </c>
      <c r="F27" s="88" t="inlineStr">
        <is>
          <t>-</t>
        </is>
      </c>
      <c r="G27" s="88" t="inlineStr">
        <is>
          <t>-</t>
        </is>
      </c>
      <c r="H27" s="88" t="inlineStr">
        <is>
          <t>-</t>
        </is>
      </c>
      <c r="I27" s="88" t="inlineStr">
        <is>
          <t>Remote (incl.)</t>
        </is>
      </c>
      <c r="J27" s="88" t="inlineStr">
        <is>
          <t>—</t>
        </is>
      </c>
      <c r="K27" s="89" t="n">
        <v>2574</v>
      </c>
      <c r="L27" s="89" t="n">
        <v>1100</v>
      </c>
      <c r="M27" s="89" t="n">
        <v>100</v>
      </c>
      <c r="N27" s="89" t="n">
        <v>1260</v>
      </c>
      <c r="O27" s="89" t="n">
        <v>3774</v>
      </c>
      <c r="P27" s="87" t="n">
        <v>10500</v>
      </c>
      <c r="Q27" s="89" t="n">
        <v>127</v>
      </c>
      <c r="R27" s="89" t="n">
        <v>4900</v>
      </c>
    </row>
    <row r="28" ht="14" customHeight="1" s="30">
      <c r="A28" s="85" t="inlineStr">
        <is>
          <t>WALL-HP-HH+</t>
        </is>
      </c>
      <c r="B28" s="85" t="inlineStr">
        <is>
          <t>15k</t>
        </is>
      </c>
      <c r="C28" s="85" t="inlineStr">
        <is>
          <t>MUZFX15NLHZ</t>
        </is>
      </c>
      <c r="D28" s="85" t="inlineStr">
        <is>
          <t>-</t>
        </is>
      </c>
      <c r="E28" s="85" t="inlineStr">
        <is>
          <t>MSZFX15NL</t>
        </is>
      </c>
      <c r="F28" s="85" t="inlineStr">
        <is>
          <t>-</t>
        </is>
      </c>
      <c r="G28" s="85" t="inlineStr">
        <is>
          <t>-</t>
        </is>
      </c>
      <c r="H28" s="85" t="inlineStr">
        <is>
          <t>-</t>
        </is>
      </c>
      <c r="I28" s="85" t="inlineStr">
        <is>
          <t>Remote (incl.)</t>
        </is>
      </c>
      <c r="J28" s="85" t="inlineStr">
        <is>
          <t>—</t>
        </is>
      </c>
      <c r="K28" s="86" t="n">
        <v>2940</v>
      </c>
      <c r="L28" s="86" t="n">
        <v>1100</v>
      </c>
      <c r="M28" s="86" t="n">
        <v>100</v>
      </c>
      <c r="N28" s="86" t="n">
        <v>1440</v>
      </c>
      <c r="O28" s="86" t="n">
        <v>4140</v>
      </c>
      <c r="P28" s="87" t="n">
        <v>12000</v>
      </c>
      <c r="Q28" s="86" t="n">
        <v>145</v>
      </c>
      <c r="R28" s="86" t="n">
        <v>5600</v>
      </c>
    </row>
    <row r="29" ht="14" customHeight="1" s="30">
      <c r="A29" s="88" t="inlineStr">
        <is>
          <t>WALL-HP-HH+</t>
        </is>
      </c>
      <c r="B29" s="88" t="inlineStr">
        <is>
          <t>18k</t>
        </is>
      </c>
      <c r="C29" s="88" t="inlineStr">
        <is>
          <t>MUZFX18NLHZ</t>
        </is>
      </c>
      <c r="D29" s="88" t="inlineStr">
        <is>
          <t>-</t>
        </is>
      </c>
      <c r="E29" s="88" t="inlineStr">
        <is>
          <t>MSZFX18NL</t>
        </is>
      </c>
      <c r="F29" s="88" t="inlineStr">
        <is>
          <t>-</t>
        </is>
      </c>
      <c r="G29" s="88" t="inlineStr">
        <is>
          <t>-</t>
        </is>
      </c>
      <c r="H29" s="88" t="inlineStr">
        <is>
          <t>-</t>
        </is>
      </c>
      <c r="I29" s="88" t="inlineStr">
        <is>
          <t>Remote (incl.)</t>
        </is>
      </c>
      <c r="J29" s="88" t="inlineStr">
        <is>
          <t>—</t>
        </is>
      </c>
      <c r="K29" s="89" t="n">
        <v>3424</v>
      </c>
      <c r="L29" s="89" t="n">
        <v>1100</v>
      </c>
      <c r="M29" s="89" t="n">
        <v>100</v>
      </c>
      <c r="N29" s="89" t="n">
        <v>1620</v>
      </c>
      <c r="O29" s="89" t="n">
        <v>4624</v>
      </c>
      <c r="P29" s="87" t="n">
        <v>13500</v>
      </c>
      <c r="Q29" s="89" t="n">
        <v>163</v>
      </c>
      <c r="R29" s="89" t="n">
        <v>6300</v>
      </c>
    </row>
    <row r="30" ht="14" customHeight="1" s="30">
      <c r="A30" s="85" t="inlineStr">
        <is>
          <t>WALL-HP-HH+</t>
        </is>
      </c>
      <c r="B30" s="85" t="inlineStr">
        <is>
          <t>24k</t>
        </is>
      </c>
      <c r="C30" s="85" t="inlineStr">
        <is>
          <t>MUZFX24NLHZ</t>
        </is>
      </c>
      <c r="D30" s="85" t="inlineStr">
        <is>
          <t>-</t>
        </is>
      </c>
      <c r="E30" s="85" t="inlineStr">
        <is>
          <t>MSZFX24NL</t>
        </is>
      </c>
      <c r="F30" s="85" t="inlineStr">
        <is>
          <t>-</t>
        </is>
      </c>
      <c r="G30" s="85" t="inlineStr">
        <is>
          <t>-</t>
        </is>
      </c>
      <c r="H30" s="85" t="inlineStr">
        <is>
          <t>-</t>
        </is>
      </c>
      <c r="I30" s="85" t="inlineStr">
        <is>
          <t>Remote (incl.)</t>
        </is>
      </c>
      <c r="J30" s="85" t="inlineStr">
        <is>
          <t>—</t>
        </is>
      </c>
      <c r="K30" s="86" t="n">
        <v>3880</v>
      </c>
      <c r="L30" s="86" t="n">
        <v>1100</v>
      </c>
      <c r="M30" s="86" t="n">
        <v>100</v>
      </c>
      <c r="N30" s="86" t="n">
        <v>2040</v>
      </c>
      <c r="O30" s="86" t="n">
        <v>5080</v>
      </c>
      <c r="P30" s="87" t="n">
        <v>17000</v>
      </c>
      <c r="Q30" s="86" t="n">
        <v>206</v>
      </c>
      <c r="R30" s="86" t="n">
        <v>7933</v>
      </c>
    </row>
    <row r="32" ht="16" customHeight="1" s="30">
      <c r="A32" s="84" t="inlineStr">
        <is>
          <t>DUCTED HP (HPAH) — SVZ Air Handler + SUZAA/AK outdoor + heat kit + MHK2 kumo touch thermostat ($390) · Permit $169.95 · 12% spiff · MSRP ★ ESTIMATE · All Active stock</t>
        </is>
      </c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1" t="n"/>
    </row>
    <row r="33" ht="14" customHeight="1" s="30">
      <c r="A33" s="85" t="inlineStr">
        <is>
          <t>HPAH</t>
        </is>
      </c>
      <c r="B33" s="85" t="inlineStr">
        <is>
          <t>1T</t>
        </is>
      </c>
      <c r="C33" s="85" t="inlineStr">
        <is>
          <t>SUZAA12NL</t>
        </is>
      </c>
      <c r="D33" s="85" t="inlineStr">
        <is>
          <t>-</t>
        </is>
      </c>
      <c r="E33" s="85" t="inlineStr">
        <is>
          <t>SVZAP12NL</t>
        </is>
      </c>
      <c r="F33" s="85" t="inlineStr">
        <is>
          <t>-</t>
        </is>
      </c>
      <c r="G33" s="85" t="inlineStr">
        <is>
          <t>-</t>
        </is>
      </c>
      <c r="H33" s="85" t="inlineStr">
        <is>
          <t>EH08-SVZ-S</t>
        </is>
      </c>
      <c r="I33" s="85" t="inlineStr">
        <is>
          <t>MHK2 ($390)</t>
        </is>
      </c>
      <c r="J33" s="85" t="inlineStr">
        <is>
          <t>—</t>
        </is>
      </c>
      <c r="K33" s="86" t="n">
        <v>3404</v>
      </c>
      <c r="L33" s="86" t="n">
        <v>1593.03</v>
      </c>
      <c r="M33" s="86" t="n">
        <v>169.95</v>
      </c>
      <c r="N33" s="86" t="n">
        <v>1680</v>
      </c>
      <c r="O33" s="86" t="n">
        <v>5166.98</v>
      </c>
      <c r="P33" s="87" t="n">
        <v>14000</v>
      </c>
      <c r="Q33" s="86" t="n">
        <v>169</v>
      </c>
      <c r="R33" s="86" t="n">
        <v>6533</v>
      </c>
    </row>
    <row r="34" ht="14" customHeight="1" s="30">
      <c r="A34" s="88" t="inlineStr">
        <is>
          <t>HPAH</t>
        </is>
      </c>
      <c r="B34" s="88" t="inlineStr">
        <is>
          <t>1.5T</t>
        </is>
      </c>
      <c r="C34" s="88" t="inlineStr">
        <is>
          <t>SUZAA18NL</t>
        </is>
      </c>
      <c r="D34" s="88" t="inlineStr">
        <is>
          <t>-</t>
        </is>
      </c>
      <c r="E34" s="88" t="inlineStr">
        <is>
          <t>SVZAP18NL</t>
        </is>
      </c>
      <c r="F34" s="88" t="inlineStr">
        <is>
          <t>-</t>
        </is>
      </c>
      <c r="G34" s="88" t="inlineStr">
        <is>
          <t>-</t>
        </is>
      </c>
      <c r="H34" s="88" t="inlineStr">
        <is>
          <t>EH08-SVZ-S</t>
        </is>
      </c>
      <c r="I34" s="88" t="inlineStr">
        <is>
          <t>MHK2 ($390)</t>
        </is>
      </c>
      <c r="J34" s="88" t="inlineStr">
        <is>
          <t>—</t>
        </is>
      </c>
      <c r="K34" s="89" t="n">
        <v>4011</v>
      </c>
      <c r="L34" s="89" t="n">
        <v>1593.03</v>
      </c>
      <c r="M34" s="89" t="n">
        <v>169.95</v>
      </c>
      <c r="N34" s="89" t="n">
        <v>1920</v>
      </c>
      <c r="O34" s="89" t="n">
        <v>5773.98</v>
      </c>
      <c r="P34" s="87" t="n">
        <v>16000</v>
      </c>
      <c r="Q34" s="89" t="n">
        <v>193</v>
      </c>
      <c r="R34" s="89" t="n">
        <v>7467</v>
      </c>
    </row>
    <row r="35" ht="14" customHeight="1" s="30">
      <c r="A35" s="85" t="inlineStr">
        <is>
          <t>HPAH</t>
        </is>
      </c>
      <c r="B35" s="85" t="inlineStr">
        <is>
          <t>2T</t>
        </is>
      </c>
      <c r="C35" s="85" t="inlineStr">
        <is>
          <t>SUZAA24NL</t>
        </is>
      </c>
      <c r="D35" s="85" t="inlineStr">
        <is>
          <t>-</t>
        </is>
      </c>
      <c r="E35" s="85" t="inlineStr">
        <is>
          <t>SVZAP24NL</t>
        </is>
      </c>
      <c r="F35" s="85" t="inlineStr">
        <is>
          <t>-</t>
        </is>
      </c>
      <c r="G35" s="85" t="inlineStr">
        <is>
          <t>-</t>
        </is>
      </c>
      <c r="H35" s="85" t="inlineStr">
        <is>
          <t>EH08-SVZ-S</t>
        </is>
      </c>
      <c r="I35" s="85" t="inlineStr">
        <is>
          <t>MHK2 ($390)</t>
        </is>
      </c>
      <c r="J35" s="85" t="inlineStr">
        <is>
          <t>—</t>
        </is>
      </c>
      <c r="K35" s="86" t="n">
        <v>4385</v>
      </c>
      <c r="L35" s="86" t="n">
        <v>1593.03</v>
      </c>
      <c r="M35" s="86" t="n">
        <v>169.95</v>
      </c>
      <c r="N35" s="86" t="n">
        <v>2160</v>
      </c>
      <c r="O35" s="86" t="n">
        <v>6147.98</v>
      </c>
      <c r="P35" s="87" t="n">
        <v>18000</v>
      </c>
      <c r="Q35" s="86" t="n">
        <v>218</v>
      </c>
      <c r="R35" s="86" t="n">
        <v>8400</v>
      </c>
    </row>
    <row r="36" ht="14" customHeight="1" s="30">
      <c r="A36" s="88" t="inlineStr">
        <is>
          <t>HPAH</t>
        </is>
      </c>
      <c r="B36" s="88" t="inlineStr">
        <is>
          <t>2.5T</t>
        </is>
      </c>
      <c r="C36" s="88" t="inlineStr">
        <is>
          <t>SUZAA30NL</t>
        </is>
      </c>
      <c r="D36" s="88" t="inlineStr">
        <is>
          <t>-</t>
        </is>
      </c>
      <c r="E36" s="88" t="inlineStr">
        <is>
          <t>SVZAP30NL</t>
        </is>
      </c>
      <c r="F36" s="88" t="inlineStr">
        <is>
          <t>-</t>
        </is>
      </c>
      <c r="G36" s="88" t="inlineStr">
        <is>
          <t>-</t>
        </is>
      </c>
      <c r="H36" s="88" t="inlineStr">
        <is>
          <t>EH10-SVZ-M</t>
        </is>
      </c>
      <c r="I36" s="88" t="inlineStr">
        <is>
          <t>MHK2 ($390)</t>
        </is>
      </c>
      <c r="J36" s="88" t="inlineStr">
        <is>
          <t>—</t>
        </is>
      </c>
      <c r="K36" s="89" t="n">
        <v>5007</v>
      </c>
      <c r="L36" s="89" t="n">
        <v>1593.03</v>
      </c>
      <c r="M36" s="89" t="n">
        <v>169.95</v>
      </c>
      <c r="N36" s="89" t="n">
        <v>2400</v>
      </c>
      <c r="O36" s="89" t="n">
        <v>6769.98</v>
      </c>
      <c r="P36" s="87" t="n">
        <v>20000</v>
      </c>
      <c r="Q36" s="89" t="n">
        <v>242</v>
      </c>
      <c r="R36" s="89" t="n">
        <v>9333</v>
      </c>
    </row>
    <row r="37" ht="14" customHeight="1" s="30">
      <c r="A37" s="85" t="inlineStr">
        <is>
          <t>HPAH</t>
        </is>
      </c>
      <c r="B37" s="85" t="inlineStr">
        <is>
          <t>3T</t>
        </is>
      </c>
      <c r="C37" s="85" t="inlineStr">
        <is>
          <t>SUZAA36NL</t>
        </is>
      </c>
      <c r="D37" s="85" t="inlineStr">
        <is>
          <t>-</t>
        </is>
      </c>
      <c r="E37" s="85" t="inlineStr">
        <is>
          <t>SVZAP36NL</t>
        </is>
      </c>
      <c r="F37" s="85" t="inlineStr">
        <is>
          <t>-</t>
        </is>
      </c>
      <c r="G37" s="85" t="inlineStr">
        <is>
          <t>-</t>
        </is>
      </c>
      <c r="H37" s="85" t="inlineStr">
        <is>
          <t>EH10-SVZ-M</t>
        </is>
      </c>
      <c r="I37" s="85" t="inlineStr">
        <is>
          <t>MHK2 ($390)</t>
        </is>
      </c>
      <c r="J37" s="85" t="inlineStr">
        <is>
          <t>—</t>
        </is>
      </c>
      <c r="K37" s="86" t="n">
        <v>5354</v>
      </c>
      <c r="L37" s="86" t="n">
        <v>1593.03</v>
      </c>
      <c r="M37" s="86" t="n">
        <v>169.95</v>
      </c>
      <c r="N37" s="86" t="n">
        <v>2640</v>
      </c>
      <c r="O37" s="86" t="n">
        <v>7116.98</v>
      </c>
      <c r="P37" s="87" t="n">
        <v>22000</v>
      </c>
      <c r="Q37" s="86" t="n">
        <v>266</v>
      </c>
      <c r="R37" s="86" t="n">
        <v>10267</v>
      </c>
    </row>
    <row r="39" ht="16" customHeight="1" s="30">
      <c r="A39" s="84" t="inlineStr">
        <is>
          <t>DUCTED HP HYPER HEAT (HPAH-HH) — SVZ AH + SUZAA/AK HyperHeat outdoor + heat kit + MHK2 ($390) · Permit $169.95 · 12% spiff · MSRP ★ ESTIMATE · 1T/1.5T NB; 2T–3T Active</t>
        </is>
      </c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1" t="n"/>
    </row>
    <row r="40" ht="14" customHeight="1" s="30">
      <c r="A40" s="85" t="inlineStr">
        <is>
          <t>HPAH-HH</t>
        </is>
      </c>
      <c r="B40" s="85" t="inlineStr">
        <is>
          <t>1T</t>
        </is>
      </c>
      <c r="C40" s="85" t="inlineStr">
        <is>
          <t>SUZAA12NLHZ</t>
        </is>
      </c>
      <c r="D40" s="85" t="inlineStr">
        <is>
          <t>-</t>
        </is>
      </c>
      <c r="E40" s="85" t="inlineStr">
        <is>
          <t>SVZAP12NL</t>
        </is>
      </c>
      <c r="F40" s="85" t="inlineStr">
        <is>
          <t>-</t>
        </is>
      </c>
      <c r="G40" s="85" t="inlineStr">
        <is>
          <t>-</t>
        </is>
      </c>
      <c r="H40" s="85" t="inlineStr">
        <is>
          <t>EH08-SVZ-S</t>
        </is>
      </c>
      <c r="I40" s="85" t="inlineStr">
        <is>
          <t>MHK2 ($390)</t>
        </is>
      </c>
      <c r="J40" s="85" t="inlineStr">
        <is>
          <t>—</t>
        </is>
      </c>
      <c r="K40" s="86" t="n">
        <v>3806</v>
      </c>
      <c r="L40" s="86" t="n">
        <v>1593.03</v>
      </c>
      <c r="M40" s="86" t="n">
        <v>169.95</v>
      </c>
      <c r="N40" s="86" t="n">
        <v>1980</v>
      </c>
      <c r="O40" s="86" t="n">
        <v>5568.98</v>
      </c>
      <c r="P40" s="87" t="n">
        <v>16500</v>
      </c>
      <c r="Q40" s="86" t="n">
        <v>200</v>
      </c>
      <c r="R40" s="86" t="n">
        <v>7700</v>
      </c>
    </row>
    <row r="41" ht="14" customHeight="1" s="30">
      <c r="A41" s="88" t="inlineStr">
        <is>
          <t>HPAH-HH</t>
        </is>
      </c>
      <c r="B41" s="88" t="inlineStr">
        <is>
          <t>1.5T</t>
        </is>
      </c>
      <c r="C41" s="88" t="inlineStr">
        <is>
          <t>SUZAA18NLHZ</t>
        </is>
      </c>
      <c r="D41" s="88" t="inlineStr">
        <is>
          <t>-</t>
        </is>
      </c>
      <c r="E41" s="88" t="inlineStr">
        <is>
          <t>SVZAP18NL</t>
        </is>
      </c>
      <c r="F41" s="88" t="inlineStr">
        <is>
          <t>-</t>
        </is>
      </c>
      <c r="G41" s="88" t="inlineStr">
        <is>
          <t>-</t>
        </is>
      </c>
      <c r="H41" s="88" t="inlineStr">
        <is>
          <t>EH08-SVZ-S</t>
        </is>
      </c>
      <c r="I41" s="88" t="inlineStr">
        <is>
          <t>MHK2 ($390)</t>
        </is>
      </c>
      <c r="J41" s="88" t="inlineStr">
        <is>
          <t>—</t>
        </is>
      </c>
      <c r="K41" s="89" t="n">
        <v>4410</v>
      </c>
      <c r="L41" s="89" t="n">
        <v>1593.03</v>
      </c>
      <c r="M41" s="89" t="n">
        <v>169.95</v>
      </c>
      <c r="N41" s="89" t="n">
        <v>2280</v>
      </c>
      <c r="O41" s="89" t="n">
        <v>6172.98</v>
      </c>
      <c r="P41" s="87" t="n">
        <v>19000</v>
      </c>
      <c r="Q41" s="89" t="n">
        <v>230</v>
      </c>
      <c r="R41" s="89" t="n">
        <v>8867</v>
      </c>
    </row>
    <row r="42" ht="14" customHeight="1" s="30">
      <c r="A42" s="85" t="inlineStr">
        <is>
          <t>HPAH-HH</t>
        </is>
      </c>
      <c r="B42" s="85" t="inlineStr">
        <is>
          <t>2T</t>
        </is>
      </c>
      <c r="C42" s="85" t="inlineStr">
        <is>
          <t>SUZAK24NLHZ</t>
        </is>
      </c>
      <c r="D42" s="85" t="inlineStr">
        <is>
          <t>-</t>
        </is>
      </c>
      <c r="E42" s="85" t="inlineStr">
        <is>
          <t>SVZAP24NL</t>
        </is>
      </c>
      <c r="F42" s="85" t="inlineStr">
        <is>
          <t>-</t>
        </is>
      </c>
      <c r="G42" s="85" t="inlineStr">
        <is>
          <t>-</t>
        </is>
      </c>
      <c r="H42" s="85" t="inlineStr">
        <is>
          <t>EH08-SVZ-S</t>
        </is>
      </c>
      <c r="I42" s="85" t="inlineStr">
        <is>
          <t>MHK2 ($390)</t>
        </is>
      </c>
      <c r="J42" s="85" t="inlineStr">
        <is>
          <t>—</t>
        </is>
      </c>
      <c r="K42" s="86" t="n">
        <v>5030</v>
      </c>
      <c r="L42" s="86" t="n">
        <v>1593.03</v>
      </c>
      <c r="M42" s="86" t="n">
        <v>169.95</v>
      </c>
      <c r="N42" s="86" t="n">
        <v>2520</v>
      </c>
      <c r="O42" s="86" t="n">
        <v>6792.98</v>
      </c>
      <c r="P42" s="87" t="n">
        <v>21000</v>
      </c>
      <c r="Q42" s="86" t="n">
        <v>254</v>
      </c>
      <c r="R42" s="86" t="n">
        <v>9800</v>
      </c>
    </row>
    <row r="43" ht="14" customHeight="1" s="30">
      <c r="A43" s="88" t="inlineStr">
        <is>
          <t>HPAH-HH</t>
        </is>
      </c>
      <c r="B43" s="88" t="inlineStr">
        <is>
          <t>2.5T</t>
        </is>
      </c>
      <c r="C43" s="88" t="inlineStr">
        <is>
          <t>SUZAK30NLHZ</t>
        </is>
      </c>
      <c r="D43" s="88" t="inlineStr">
        <is>
          <t>-</t>
        </is>
      </c>
      <c r="E43" s="88" t="inlineStr">
        <is>
          <t>SVZAP30NL</t>
        </is>
      </c>
      <c r="F43" s="88" t="inlineStr">
        <is>
          <t>-</t>
        </is>
      </c>
      <c r="G43" s="88" t="inlineStr">
        <is>
          <t>-</t>
        </is>
      </c>
      <c r="H43" s="88" t="inlineStr">
        <is>
          <t>EH10-SVZ-M</t>
        </is>
      </c>
      <c r="I43" s="88" t="inlineStr">
        <is>
          <t>MHK2 ($390)</t>
        </is>
      </c>
      <c r="J43" s="88" t="inlineStr">
        <is>
          <t>—</t>
        </is>
      </c>
      <c r="K43" s="89" t="n">
        <v>5913</v>
      </c>
      <c r="L43" s="89" t="n">
        <v>1593.03</v>
      </c>
      <c r="M43" s="89" t="n">
        <v>169.95</v>
      </c>
      <c r="N43" s="89" t="n">
        <v>2760</v>
      </c>
      <c r="O43" s="89" t="n">
        <v>7675.98</v>
      </c>
      <c r="P43" s="87" t="n">
        <v>23000</v>
      </c>
      <c r="Q43" s="89" t="n">
        <v>278</v>
      </c>
      <c r="R43" s="89" t="n">
        <v>10733</v>
      </c>
    </row>
    <row r="44" ht="14" customHeight="1" s="30">
      <c r="A44" s="85" t="inlineStr">
        <is>
          <t>HPAH-HH</t>
        </is>
      </c>
      <c r="B44" s="85" t="inlineStr">
        <is>
          <t>3T</t>
        </is>
      </c>
      <c r="C44" s="85" t="inlineStr">
        <is>
          <t>SUZAK36NLHZ</t>
        </is>
      </c>
      <c r="D44" s="85" t="inlineStr">
        <is>
          <t>-</t>
        </is>
      </c>
      <c r="E44" s="85" t="inlineStr">
        <is>
          <t>SVZAP36NL</t>
        </is>
      </c>
      <c r="F44" s="85" t="inlineStr">
        <is>
          <t>-</t>
        </is>
      </c>
      <c r="G44" s="85" t="inlineStr">
        <is>
          <t>-</t>
        </is>
      </c>
      <c r="H44" s="85" t="inlineStr">
        <is>
          <t>EH10-SVZ-M</t>
        </is>
      </c>
      <c r="I44" s="85" t="inlineStr">
        <is>
          <t>MHK2 ($390)</t>
        </is>
      </c>
      <c r="J44" s="85" t="inlineStr">
        <is>
          <t>—</t>
        </is>
      </c>
      <c r="K44" s="86" t="n">
        <v>6212</v>
      </c>
      <c r="L44" s="86" t="n">
        <v>1593.03</v>
      </c>
      <c r="M44" s="86" t="n">
        <v>169.95</v>
      </c>
      <c r="N44" s="86" t="n">
        <v>3000</v>
      </c>
      <c r="O44" s="86" t="n">
        <v>7974.98</v>
      </c>
      <c r="P44" s="87" t="n">
        <v>25000</v>
      </c>
      <c r="Q44" s="86" t="n">
        <v>302</v>
      </c>
      <c r="R44" s="86" t="n">
        <v>11667</v>
      </c>
    </row>
  </sheetData>
  <mergeCells count="9">
    <mergeCell ref="A39:R39"/>
    <mergeCell ref="A25:R25"/>
    <mergeCell ref="A2:R2"/>
    <mergeCell ref="A19:R19"/>
    <mergeCell ref="A32:R32"/>
    <mergeCell ref="A13:R13"/>
    <mergeCell ref="A1:R1"/>
    <mergeCell ref="A8:R8"/>
    <mergeCell ref="A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style="30" min="1" max="1"/>
    <col width="14" customWidth="1" style="30" min="2" max="2"/>
    <col width="20" customWidth="1" style="30" min="3" max="3"/>
    <col width="24" customWidth="1" style="30" min="4" max="4"/>
    <col width="10" customWidth="1" style="30" min="5" max="5"/>
    <col width="14" customWidth="1" style="30" min="6" max="6"/>
    <col width="24" customWidth="1" style="30" min="7" max="7"/>
  </cols>
  <sheetData>
    <row r="1">
      <c r="A1" s="90" t="inlineStr">
        <is>
          <t>Category</t>
        </is>
      </c>
      <c r="B1" s="90" t="inlineStr">
        <is>
          <t>Tier</t>
        </is>
      </c>
      <c r="C1" s="90" t="inlineStr">
        <is>
          <t>Product Type</t>
        </is>
      </c>
      <c r="D1" s="90" t="inlineStr">
        <is>
          <t>Model</t>
        </is>
      </c>
      <c r="E1" s="90" t="inlineStr">
        <is>
          <t>Tons</t>
        </is>
      </c>
      <c r="F1" s="90" t="inlineStr">
        <is>
          <t>Equip Cost</t>
        </is>
      </c>
      <c r="G1" s="90" t="inlineStr">
        <is>
          <t>Notes</t>
        </is>
      </c>
    </row>
    <row r="2">
      <c r="A2" t="inlineStr">
        <is>
          <t>Heat Pump</t>
        </is>
      </c>
      <c r="B2" t="inlineStr">
        <is>
          <t>Premium</t>
        </is>
      </c>
      <c r="C2" t="inlineStr">
        <is>
          <t>Platinum 20</t>
        </is>
      </c>
      <c r="D2" t="inlineStr">
        <is>
          <t>5A6V0X24A1000A</t>
        </is>
      </c>
      <c r="E2" t="n">
        <v>2</v>
      </c>
      <c r="F2" t="n">
        <v>5019</v>
      </c>
      <c r="G2" t="inlineStr">
        <is>
          <t>Variable Speed</t>
        </is>
      </c>
    </row>
    <row r="3">
      <c r="A3" t="inlineStr">
        <is>
          <t>Heat Pump</t>
        </is>
      </c>
      <c r="B3" t="inlineStr">
        <is>
          <t>Premium</t>
        </is>
      </c>
      <c r="C3" t="inlineStr">
        <is>
          <t>Platinum 18</t>
        </is>
      </c>
      <c r="D3" t="inlineStr">
        <is>
          <t>5A6V8X36A1000A</t>
        </is>
      </c>
      <c r="E3" t="n">
        <v>3</v>
      </c>
      <c r="F3" t="n">
        <v>4046</v>
      </c>
      <c r="G3" t="inlineStr">
        <is>
          <t>Variable Speed</t>
        </is>
      </c>
    </row>
    <row r="4">
      <c r="A4" t="inlineStr">
        <is>
          <t>Heat Pump</t>
        </is>
      </c>
      <c r="B4" t="inlineStr">
        <is>
          <t>Premium</t>
        </is>
      </c>
      <c r="C4" t="inlineStr">
        <is>
          <t>Gold 17</t>
        </is>
      </c>
      <c r="D4" t="inlineStr">
        <is>
          <t>5A6H7036A1000A</t>
        </is>
      </c>
      <c r="E4" t="n">
        <v>3</v>
      </c>
      <c r="F4" t="n">
        <v>4236</v>
      </c>
      <c r="G4" t="inlineStr">
        <is>
          <t>Multi-Speed</t>
        </is>
      </c>
    </row>
    <row r="5">
      <c r="A5" t="inlineStr">
        <is>
          <t>Heat Pump</t>
        </is>
      </c>
      <c r="B5" t="inlineStr">
        <is>
          <t>Value</t>
        </is>
      </c>
      <c r="C5" t="inlineStr">
        <is>
          <t>Silver 16</t>
        </is>
      </c>
      <c r="D5" t="inlineStr">
        <is>
          <t>5A6H6036A1000A</t>
        </is>
      </c>
      <c r="E5" t="n">
        <v>3</v>
      </c>
      <c r="F5" t="n">
        <v>2010</v>
      </c>
      <c r="G5" t="inlineStr">
        <is>
          <t>Single Stage</t>
        </is>
      </c>
    </row>
    <row r="6">
      <c r="A6" t="inlineStr">
        <is>
          <t>Heat Pump</t>
        </is>
      </c>
      <c r="B6" t="inlineStr">
        <is>
          <t>Value</t>
        </is>
      </c>
      <c r="C6" t="inlineStr">
        <is>
          <t>Silver 15</t>
        </is>
      </c>
      <c r="D6" t="inlineStr">
        <is>
          <t>5A6H5036A1000A</t>
        </is>
      </c>
      <c r="E6" t="n">
        <v>3</v>
      </c>
      <c r="F6" t="n">
        <v>2010</v>
      </c>
      <c r="G6" t="inlineStr">
        <is>
          <t>Single Stage</t>
        </is>
      </c>
    </row>
    <row r="7">
      <c r="A7" t="inlineStr">
        <is>
          <t>Heat Pump</t>
        </is>
      </c>
      <c r="B7" t="inlineStr">
        <is>
          <t>Entry</t>
        </is>
      </c>
      <c r="C7" t="inlineStr">
        <is>
          <t>Silver 14</t>
        </is>
      </c>
      <c r="D7" t="inlineStr">
        <is>
          <t>5A6H4036A1000A</t>
        </is>
      </c>
      <c r="E7" t="n">
        <v>3</v>
      </c>
      <c r="F7" t="n">
        <v>1726</v>
      </c>
      <c r="G7" t="inlineStr">
        <is>
          <t>Single Stage</t>
        </is>
      </c>
    </row>
    <row r="8">
      <c r="A8" t="inlineStr">
        <is>
          <t>Air Handler</t>
        </is>
      </c>
      <c r="B8" t="inlineStr">
        <is>
          <t>Premium</t>
        </is>
      </c>
      <c r="C8" t="inlineStr">
        <is>
          <t>TEM6</t>
        </is>
      </c>
      <c r="D8" t="inlineStr">
        <is>
          <t>AMS5TEM6D04AV31SA</t>
        </is>
      </c>
      <c r="E8" t="n">
        <v>3</v>
      </c>
      <c r="F8" t="n">
        <v>1224</v>
      </c>
      <c r="G8" t="inlineStr">
        <is>
          <t>Variable Speed</t>
        </is>
      </c>
    </row>
    <row r="9">
      <c r="A9" t="inlineStr">
        <is>
          <t>Air Handler</t>
        </is>
      </c>
      <c r="B9" t="inlineStr">
        <is>
          <t>Value</t>
        </is>
      </c>
      <c r="C9" t="inlineStr">
        <is>
          <t>TEM4</t>
        </is>
      </c>
      <c r="D9" t="inlineStr">
        <is>
          <t>AMS5TEM4D04AC31SA</t>
        </is>
      </c>
      <c r="E9" t="n">
        <v>3</v>
      </c>
      <c r="F9" t="n">
        <v>1018</v>
      </c>
      <c r="G9" t="inlineStr">
        <is>
          <t>Multi Position</t>
        </is>
      </c>
    </row>
    <row r="10">
      <c r="A10" t="inlineStr">
        <is>
          <t>Furnace</t>
        </is>
      </c>
      <c r="B10" t="inlineStr">
        <is>
          <t>Premium</t>
        </is>
      </c>
      <c r="C10" t="inlineStr">
        <is>
          <t>S9V2</t>
        </is>
      </c>
      <c r="D10" t="inlineStr">
        <is>
          <t>AMSS9V2B080U4VSBB</t>
        </is>
      </c>
      <c r="E10" t="n">
        <v>4</v>
      </c>
      <c r="F10" t="n">
        <v>1753</v>
      </c>
      <c r="G10" t="inlineStr">
        <is>
          <t>97% Variable Speed</t>
        </is>
      </c>
    </row>
    <row r="11">
      <c r="A11" t="inlineStr">
        <is>
          <t>Furnace</t>
        </is>
      </c>
      <c r="B11" t="inlineStr">
        <is>
          <t>Premium</t>
        </is>
      </c>
      <c r="C11" t="inlineStr">
        <is>
          <t>S9X2</t>
        </is>
      </c>
      <c r="D11" t="inlineStr">
        <is>
          <t>AMSS9X2B080U4PSBB</t>
        </is>
      </c>
      <c r="E11" t="n">
        <v>4</v>
      </c>
      <c r="F11" t="n">
        <v>1371</v>
      </c>
      <c r="G11" t="inlineStr">
        <is>
          <t>96% Two Stage</t>
        </is>
      </c>
    </row>
    <row r="12">
      <c r="A12" t="inlineStr">
        <is>
          <t>Furnace</t>
        </is>
      </c>
      <c r="B12" t="inlineStr">
        <is>
          <t>Value</t>
        </is>
      </c>
      <c r="C12" t="inlineStr">
        <is>
          <t>S9X1</t>
        </is>
      </c>
      <c r="D12" t="inlineStr">
        <is>
          <t>AMSS9X1B080U4PSBB</t>
        </is>
      </c>
      <c r="E12" t="n">
        <v>4</v>
      </c>
      <c r="F12" t="n">
        <v>1096</v>
      </c>
      <c r="G12" t="inlineStr">
        <is>
          <t>95% Single Stage</t>
        </is>
      </c>
    </row>
    <row r="13">
      <c r="A13" t="inlineStr">
        <is>
          <t>Furnace</t>
        </is>
      </c>
      <c r="B13" t="inlineStr">
        <is>
          <t>Entry</t>
        </is>
      </c>
      <c r="C13" t="inlineStr">
        <is>
          <t>S8X1</t>
        </is>
      </c>
      <c r="D13" t="inlineStr">
        <is>
          <t>AMSS8X1B080M4PSCC</t>
        </is>
      </c>
      <c r="E13" t="n">
        <v>4</v>
      </c>
      <c r="F13" t="n">
        <v>956</v>
      </c>
      <c r="G13" t="inlineStr">
        <is>
          <t>80% Single Stage</t>
        </is>
      </c>
    </row>
    <row r="14">
      <c r="A14" t="inlineStr">
        <is>
          <t>Air Conditioner</t>
        </is>
      </c>
      <c r="B14" t="inlineStr">
        <is>
          <t>Premium</t>
        </is>
      </c>
      <c r="C14" t="inlineStr">
        <is>
          <t>Gold 17</t>
        </is>
      </c>
      <c r="D14" t="inlineStr">
        <is>
          <t>5A7A7036A1000A</t>
        </is>
      </c>
      <c r="E14" t="n">
        <v>3</v>
      </c>
      <c r="F14" t="n">
        <v>3097</v>
      </c>
      <c r="G14" t="inlineStr">
        <is>
          <t>Multi Stage</t>
        </is>
      </c>
    </row>
    <row r="15">
      <c r="A15" t="inlineStr">
        <is>
          <t>Air Conditioner</t>
        </is>
      </c>
      <c r="B15" t="inlineStr">
        <is>
          <t>Value</t>
        </is>
      </c>
      <c r="C15" t="inlineStr">
        <is>
          <t>Silver 16</t>
        </is>
      </c>
      <c r="D15" t="inlineStr">
        <is>
          <t>5A7A6036A1000A</t>
        </is>
      </c>
      <c r="E15" t="n">
        <v>3</v>
      </c>
      <c r="F15" t="n">
        <v>3496</v>
      </c>
      <c r="G15" t="inlineStr">
        <is>
          <t>Single Stage</t>
        </is>
      </c>
    </row>
    <row r="16">
      <c r="A16" t="inlineStr">
        <is>
          <t>Air Conditioner</t>
        </is>
      </c>
      <c r="B16" t="inlineStr">
        <is>
          <t>Entry</t>
        </is>
      </c>
      <c r="C16" t="inlineStr">
        <is>
          <t>Silver 14</t>
        </is>
      </c>
      <c r="D16" t="inlineStr">
        <is>
          <t>5A7A4036A1000A</t>
        </is>
      </c>
      <c r="E16" t="n">
        <v>3</v>
      </c>
      <c r="F16" t="n">
        <v>2134</v>
      </c>
      <c r="G16" t="inlineStr">
        <is>
          <t>Single Stage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30" min="1" max="1"/>
    <col width="24" customWidth="1" style="30" min="2" max="2"/>
    <col width="24" customWidth="1" style="30" min="3" max="3"/>
    <col width="16" customWidth="1" style="30" min="4" max="4"/>
    <col width="14" customWidth="1" style="30" min="5" max="5"/>
    <col width="12" customWidth="1" style="30" min="6" max="6"/>
    <col width="14" customWidth="1" style="30" min="7" max="7"/>
    <col width="14" customWidth="1" style="30" min="8" max="8"/>
    <col width="16" customWidth="1" style="30" min="9" max="9"/>
    <col width="16" customWidth="1" style="30" min="10" max="10"/>
    <col width="20" customWidth="1" style="30" min="11" max="11"/>
    <col width="16" customWidth="1" style="30" min="12" max="12"/>
  </cols>
  <sheetData>
    <row r="1">
      <c r="A1" s="90" t="inlineStr">
        <is>
          <t>Package Name</t>
        </is>
      </c>
      <c r="B1" s="90" t="inlineStr">
        <is>
          <t>Outdoor Unit</t>
        </is>
      </c>
      <c r="C1" s="90" t="inlineStr">
        <is>
          <t>Indoor Unit</t>
        </is>
      </c>
      <c r="D1" s="90" t="inlineStr">
        <is>
          <t>Equipment Cost</t>
        </is>
      </c>
      <c r="E1" s="90" t="inlineStr">
        <is>
          <t>Install Cost</t>
        </is>
      </c>
      <c r="F1" s="90" t="inlineStr">
        <is>
          <t>Permit</t>
        </is>
      </c>
      <c r="G1" s="90" t="inlineStr">
        <is>
          <t>Accessories</t>
        </is>
      </c>
      <c r="H1" s="90" t="inlineStr">
        <is>
          <t>Total Cost</t>
        </is>
      </c>
      <c r="I1" s="90" t="inlineStr">
        <is>
          <t>Target Margin %</t>
        </is>
      </c>
      <c r="J1" s="90" t="inlineStr">
        <is>
          <t>Retail Price</t>
        </is>
      </c>
      <c r="K1" s="90" t="inlineStr">
        <is>
          <t>Estimated CaaS / Mo</t>
        </is>
      </c>
      <c r="L1" s="90" t="inlineStr">
        <is>
          <t>Residual @ 96</t>
        </is>
      </c>
    </row>
    <row r="2">
      <c r="A2" t="inlineStr">
        <is>
          <t>AS Silver 14 HP + TEM4</t>
        </is>
      </c>
      <c r="B2" t="inlineStr">
        <is>
          <t>Silver 14 HP</t>
        </is>
      </c>
      <c r="C2" t="inlineStr">
        <is>
          <t>TEM4 Air Handler</t>
        </is>
      </c>
      <c r="D2" t="n">
        <v>2744</v>
      </c>
      <c r="E2" t="n">
        <v>5200</v>
      </c>
      <c r="F2" t="n">
        <v>450</v>
      </c>
      <c r="G2" t="n">
        <v>600</v>
      </c>
      <c r="H2">
        <f>SUM(D2:G2)</f>
        <v/>
      </c>
      <c r="I2" t="n">
        <v>0.48</v>
      </c>
      <c r="J2">
        <f>ROUND(H2/(1-I2),2)</f>
        <v/>
      </c>
      <c r="K2">
        <f>ROUND(J2*0.018,2)</f>
        <v/>
      </c>
      <c r="L2">
        <f>ROUND(J2*0.35,2)</f>
        <v/>
      </c>
    </row>
    <row r="3">
      <c r="A3" t="inlineStr">
        <is>
          <t>AS Silver 15 HP + TEM6</t>
        </is>
      </c>
      <c r="B3" t="inlineStr">
        <is>
          <t>Silver 15 HP</t>
        </is>
      </c>
      <c r="C3" t="inlineStr">
        <is>
          <t>TEM6 Air Handler</t>
        </is>
      </c>
      <c r="D3" t="n">
        <v>3234</v>
      </c>
      <c r="E3" t="n">
        <v>5600</v>
      </c>
      <c r="F3" t="n">
        <v>450</v>
      </c>
      <c r="G3" t="n">
        <v>750</v>
      </c>
      <c r="H3">
        <f>SUM(D3:G3)</f>
        <v/>
      </c>
      <c r="I3" t="n">
        <v>0.5</v>
      </c>
      <c r="J3">
        <f>ROUND(H3/(1-I3),2)</f>
        <v/>
      </c>
      <c r="K3">
        <f>ROUND(J3*0.018,2)</f>
        <v/>
      </c>
      <c r="L3">
        <f>ROUND(J3*0.35,2)</f>
        <v/>
      </c>
    </row>
    <row r="4">
      <c r="A4" t="inlineStr">
        <is>
          <t>AS S8X1 + Silver 14 AC</t>
        </is>
      </c>
      <c r="B4" t="inlineStr">
        <is>
          <t>Silver 14 AC</t>
        </is>
      </c>
      <c r="C4" t="inlineStr">
        <is>
          <t>S8X1 Furnace</t>
        </is>
      </c>
      <c r="D4" t="n">
        <v>3090</v>
      </c>
      <c r="E4" t="n">
        <v>5100</v>
      </c>
      <c r="F4" t="n">
        <v>450</v>
      </c>
      <c r="G4" t="n">
        <v>600</v>
      </c>
      <c r="H4">
        <f>SUM(D4:G4)</f>
        <v/>
      </c>
      <c r="I4" t="n">
        <v>0.48</v>
      </c>
      <c r="J4">
        <f>ROUND(H4/(1-I4),2)</f>
        <v/>
      </c>
      <c r="K4">
        <f>ROUND(J4*0.018,2)</f>
        <v/>
      </c>
      <c r="L4">
        <f>ROUND(J4*0.35,2)</f>
        <v/>
      </c>
    </row>
    <row r="5">
      <c r="A5" t="inlineStr">
        <is>
          <t>AS S9X1 + Silver 16 AC</t>
        </is>
      </c>
      <c r="B5" t="inlineStr">
        <is>
          <t>Silver 16 AC</t>
        </is>
      </c>
      <c r="C5" t="inlineStr">
        <is>
          <t>S9X1 Furnace</t>
        </is>
      </c>
      <c r="D5" t="n">
        <v>4592</v>
      </c>
      <c r="E5" t="n">
        <v>5600</v>
      </c>
      <c r="F5" t="n">
        <v>450</v>
      </c>
      <c r="G5" t="n">
        <v>750</v>
      </c>
      <c r="H5">
        <f>SUM(D5:G5)</f>
        <v/>
      </c>
      <c r="I5" t="n">
        <v>0.5</v>
      </c>
      <c r="J5">
        <f>ROUND(H5/(1-I5),2)</f>
        <v/>
      </c>
      <c r="K5">
        <f>ROUND(J5*0.018,2)</f>
        <v/>
      </c>
      <c r="L5">
        <f>ROUND(J5*0.35,2)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30" min="1" max="1"/>
    <col width="24" customWidth="1" style="30" min="2" max="2"/>
    <col width="24" customWidth="1" style="30" min="3" max="3"/>
    <col width="16" customWidth="1" style="30" min="4" max="4"/>
    <col width="14" customWidth="1" style="30" min="5" max="5"/>
    <col width="12" customWidth="1" style="30" min="6" max="6"/>
    <col width="14" customWidth="1" style="30" min="7" max="7"/>
    <col width="14" customWidth="1" style="30" min="8" max="8"/>
    <col width="16" customWidth="1" style="30" min="9" max="9"/>
    <col width="16" customWidth="1" style="30" min="10" max="10"/>
    <col width="20" customWidth="1" style="30" min="11" max="11"/>
    <col width="16" customWidth="1" style="30" min="12" max="12"/>
  </cols>
  <sheetData>
    <row r="1">
      <c r="A1" s="90" t="inlineStr">
        <is>
          <t>Package Name</t>
        </is>
      </c>
      <c r="B1" s="90" t="inlineStr">
        <is>
          <t>Outdoor Unit</t>
        </is>
      </c>
      <c r="C1" s="90" t="inlineStr">
        <is>
          <t>Indoor Unit</t>
        </is>
      </c>
      <c r="D1" s="90" t="inlineStr">
        <is>
          <t>Equipment Cost</t>
        </is>
      </c>
      <c r="E1" s="90" t="inlineStr">
        <is>
          <t>Install Cost</t>
        </is>
      </c>
      <c r="F1" s="90" t="inlineStr">
        <is>
          <t>Permit</t>
        </is>
      </c>
      <c r="G1" s="90" t="inlineStr">
        <is>
          <t>Accessories</t>
        </is>
      </c>
      <c r="H1" s="90" t="inlineStr">
        <is>
          <t>Total Cost</t>
        </is>
      </c>
      <c r="I1" s="90" t="inlineStr">
        <is>
          <t>Target Margin %</t>
        </is>
      </c>
      <c r="J1" s="90" t="inlineStr">
        <is>
          <t>Retail Price</t>
        </is>
      </c>
      <c r="K1" s="90" t="inlineStr">
        <is>
          <t>Estimated CaaS / Mo</t>
        </is>
      </c>
      <c r="L1" s="90" t="inlineStr">
        <is>
          <t>Residual @ 96</t>
        </is>
      </c>
    </row>
    <row r="2">
      <c r="A2" t="inlineStr">
        <is>
          <t>AS Gold 17 + TEM6</t>
        </is>
      </c>
      <c r="B2" t="inlineStr">
        <is>
          <t>Gold 17 HP</t>
        </is>
      </c>
      <c r="C2" t="inlineStr">
        <is>
          <t>TEM6 Air Handler</t>
        </is>
      </c>
      <c r="D2" t="n">
        <v>5460</v>
      </c>
      <c r="E2" t="n">
        <v>6200</v>
      </c>
      <c r="F2" t="n">
        <v>550</v>
      </c>
      <c r="G2" t="n">
        <v>900</v>
      </c>
      <c r="H2">
        <f>SUM(D2:G2)</f>
        <v/>
      </c>
      <c r="I2" t="n">
        <v>0.52</v>
      </c>
      <c r="J2">
        <f>ROUND(H2/(1-I2),2)</f>
        <v/>
      </c>
      <c r="K2">
        <f>ROUND(J2*0.018,2)</f>
        <v/>
      </c>
      <c r="L2">
        <f>ROUND(J2*0.35,2)</f>
        <v/>
      </c>
    </row>
    <row r="3">
      <c r="A3" t="inlineStr">
        <is>
          <t>AS Platinum 18 + TAMX</t>
        </is>
      </c>
      <c r="B3" t="inlineStr">
        <is>
          <t>Platinum 18 HP</t>
        </is>
      </c>
      <c r="C3" t="inlineStr">
        <is>
          <t>TAMX Air Handler</t>
        </is>
      </c>
      <c r="D3" t="n">
        <v>7040</v>
      </c>
      <c r="E3" t="n">
        <v>6800</v>
      </c>
      <c r="F3" t="n">
        <v>550</v>
      </c>
      <c r="G3" t="n">
        <v>1200</v>
      </c>
      <c r="H3">
        <f>SUM(D3:G3)</f>
        <v/>
      </c>
      <c r="I3" t="n">
        <v>0.55</v>
      </c>
      <c r="J3">
        <f>ROUND(H3/(1-I3),2)</f>
        <v/>
      </c>
      <c r="K3">
        <f>ROUND(J3*0.018,2)</f>
        <v/>
      </c>
      <c r="L3">
        <f>ROUND(J3*0.35,2)</f>
        <v/>
      </c>
    </row>
    <row r="4">
      <c r="A4" t="inlineStr">
        <is>
          <t>AS Platinum 20 Communicating</t>
        </is>
      </c>
      <c r="B4" t="inlineStr">
        <is>
          <t>Platinum 20 HP</t>
        </is>
      </c>
      <c r="C4" t="inlineStr">
        <is>
          <t>TAMX Air Handler</t>
        </is>
      </c>
      <c r="D4" t="n">
        <v>8013</v>
      </c>
      <c r="E4" t="n">
        <v>7200</v>
      </c>
      <c r="F4" t="n">
        <v>650</v>
      </c>
      <c r="G4" t="n">
        <v>1500</v>
      </c>
      <c r="H4">
        <f>SUM(D4:G4)</f>
        <v/>
      </c>
      <c r="I4" t="n">
        <v>0.57</v>
      </c>
      <c r="J4">
        <f>ROUND(H4/(1-I4),2)</f>
        <v/>
      </c>
      <c r="K4">
        <f>ROUND(J4*0.018,2)</f>
        <v/>
      </c>
      <c r="L4">
        <f>ROUND(J4*0.35,2)</f>
        <v/>
      </c>
    </row>
    <row r="5">
      <c r="A5" t="inlineStr">
        <is>
          <t>AS S9V2 + Gold 17 AC</t>
        </is>
      </c>
      <c r="B5" t="inlineStr">
        <is>
          <t>Gold 17 AC</t>
        </is>
      </c>
      <c r="C5" t="inlineStr">
        <is>
          <t>S9V2 Furnace</t>
        </is>
      </c>
      <c r="D5" t="n">
        <v>4850</v>
      </c>
      <c r="E5" t="n">
        <v>6200</v>
      </c>
      <c r="F5" t="n">
        <v>550</v>
      </c>
      <c r="G5" t="n">
        <v>900</v>
      </c>
      <c r="H5">
        <f>SUM(D5:G5)</f>
        <v/>
      </c>
      <c r="I5" t="n">
        <v>0.52</v>
      </c>
      <c r="J5">
        <f>ROUND(H5/(1-I5),2)</f>
        <v/>
      </c>
      <c r="K5">
        <f>ROUND(J5*0.018,2)</f>
        <v/>
      </c>
      <c r="L5">
        <f>ROUND(J5*0.35,2)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30" min="1" max="1"/>
    <col width="24" customWidth="1" style="30" min="2" max="2"/>
    <col width="24" customWidth="1" style="30" min="3" max="3"/>
    <col width="16" customWidth="1" style="30" min="4" max="4"/>
    <col width="14" customWidth="1" style="30" min="5" max="5"/>
    <col width="12" customWidth="1" style="30" min="6" max="6"/>
    <col width="14" customWidth="1" style="30" min="7" max="7"/>
    <col width="14" customWidth="1" style="30" min="8" max="8"/>
    <col width="16" customWidth="1" style="30" min="9" max="9"/>
    <col width="16" customWidth="1" style="30" min="10" max="10"/>
    <col width="20" customWidth="1" style="30" min="11" max="11"/>
    <col width="16" customWidth="1" style="30" min="12" max="12"/>
  </cols>
  <sheetData>
    <row r="1">
      <c r="A1" s="90" t="inlineStr">
        <is>
          <t>Package Name</t>
        </is>
      </c>
      <c r="B1" s="90" t="inlineStr">
        <is>
          <t>Outdoor Unit</t>
        </is>
      </c>
      <c r="C1" s="90" t="inlineStr">
        <is>
          <t>Indoor Unit</t>
        </is>
      </c>
      <c r="D1" s="90" t="inlineStr">
        <is>
          <t>Equipment Cost</t>
        </is>
      </c>
      <c r="E1" s="90" t="inlineStr">
        <is>
          <t>Install Cost</t>
        </is>
      </c>
      <c r="F1" s="90" t="inlineStr">
        <is>
          <t>Permit</t>
        </is>
      </c>
      <c r="G1" s="90" t="inlineStr">
        <is>
          <t>Accessories</t>
        </is>
      </c>
      <c r="H1" s="90" t="inlineStr">
        <is>
          <t>Total Cost</t>
        </is>
      </c>
      <c r="I1" s="90" t="inlineStr">
        <is>
          <t>Target Margin %</t>
        </is>
      </c>
      <c r="J1" s="90" t="inlineStr">
        <is>
          <t>Retail Price</t>
        </is>
      </c>
      <c r="K1" s="90" t="inlineStr">
        <is>
          <t>Estimated CaaS / Mo</t>
        </is>
      </c>
      <c r="L1" s="90" t="inlineStr">
        <is>
          <t>Residual @ 96</t>
        </is>
      </c>
    </row>
    <row r="2">
      <c r="A2" t="inlineStr">
        <is>
          <t>AS S8X1 Furnace Replacement</t>
        </is>
      </c>
      <c r="B2" t="inlineStr">
        <is>
          <t>N/A</t>
        </is>
      </c>
      <c r="C2" t="inlineStr">
        <is>
          <t>S8X1 Furnace</t>
        </is>
      </c>
      <c r="D2" t="n">
        <v>956</v>
      </c>
      <c r="E2" t="n">
        <v>3200</v>
      </c>
      <c r="F2" t="n">
        <v>350</v>
      </c>
      <c r="G2" t="n">
        <v>400</v>
      </c>
      <c r="H2">
        <f>SUM(D2:G2)</f>
        <v/>
      </c>
      <c r="I2" t="n">
        <v>0.46</v>
      </c>
      <c r="J2">
        <f>ROUND(H2/(1-I2),2)</f>
        <v/>
      </c>
      <c r="K2">
        <f>ROUND(J2*0.018,2)</f>
        <v/>
      </c>
      <c r="L2">
        <f>ROUND(J2*0.35,2)</f>
        <v/>
      </c>
    </row>
    <row r="3">
      <c r="A3" t="inlineStr">
        <is>
          <t>AS S9X1 Furnace Replacement</t>
        </is>
      </c>
      <c r="B3" t="inlineStr">
        <is>
          <t>N/A</t>
        </is>
      </c>
      <c r="C3" t="inlineStr">
        <is>
          <t>S9X1 Furnace</t>
        </is>
      </c>
      <c r="D3" t="n">
        <v>1096</v>
      </c>
      <c r="E3" t="n">
        <v>3600</v>
      </c>
      <c r="F3" t="n">
        <v>350</v>
      </c>
      <c r="G3" t="n">
        <v>450</v>
      </c>
      <c r="H3">
        <f>SUM(D3:G3)</f>
        <v/>
      </c>
      <c r="I3" t="n">
        <v>0.48</v>
      </c>
      <c r="J3">
        <f>ROUND(H3/(1-I3),2)</f>
        <v/>
      </c>
      <c r="K3">
        <f>ROUND(J3*0.018,2)</f>
        <v/>
      </c>
      <c r="L3">
        <f>ROUND(J3*0.35,2)</f>
        <v/>
      </c>
    </row>
    <row r="4">
      <c r="A4" t="inlineStr">
        <is>
          <t>AS S9X2 Two Stage Replacement</t>
        </is>
      </c>
      <c r="B4" t="inlineStr">
        <is>
          <t>N/A</t>
        </is>
      </c>
      <c r="C4" t="inlineStr">
        <is>
          <t>S9X2 Furnace</t>
        </is>
      </c>
      <c r="D4" t="n">
        <v>1371</v>
      </c>
      <c r="E4" t="n">
        <v>3900</v>
      </c>
      <c r="F4" t="n">
        <v>350</v>
      </c>
      <c r="G4" t="n">
        <v>500</v>
      </c>
      <c r="H4">
        <f>SUM(D4:G4)</f>
        <v/>
      </c>
      <c r="I4" t="n">
        <v>0.5</v>
      </c>
      <c r="J4">
        <f>ROUND(H4/(1-I4),2)</f>
        <v/>
      </c>
      <c r="K4">
        <f>ROUND(J4*0.018,2)</f>
        <v/>
      </c>
      <c r="L4">
        <f>ROUND(J4*0.35,2)</f>
        <v/>
      </c>
    </row>
    <row r="5">
      <c r="A5" t="inlineStr">
        <is>
          <t>AS S9V2 Variable Speed</t>
        </is>
      </c>
      <c r="B5" t="inlineStr">
        <is>
          <t>N/A</t>
        </is>
      </c>
      <c r="C5" t="inlineStr">
        <is>
          <t>S9V2 Furnace</t>
        </is>
      </c>
      <c r="D5" t="n">
        <v>1753</v>
      </c>
      <c r="E5" t="n">
        <v>4200</v>
      </c>
      <c r="F5" t="n">
        <v>350</v>
      </c>
      <c r="G5" t="n">
        <v>650</v>
      </c>
      <c r="H5">
        <f>SUM(D5:G5)</f>
        <v/>
      </c>
      <c r="I5" t="n">
        <v>0.52</v>
      </c>
      <c r="J5">
        <f>ROUND(H5/(1-I5),2)</f>
        <v/>
      </c>
      <c r="K5">
        <f>ROUND(J5*0.018,2)</f>
        <v/>
      </c>
      <c r="L5">
        <f>ROUND(J5*0.35,2)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2026-05-21T21:21:15Z</dcterms:created>
  <dcterms:modified xmlns:dcterms="http://purl.org/dc/terms/" xmlns:xsi="http://www.w3.org/2001/XMLSchema-instance" xsi:type="dcterms:W3CDTF">2026-05-27T21:56:23Z</dcterms:modified>
  <cp:revision>0</cp:revision>
</cp:coreProperties>
</file>